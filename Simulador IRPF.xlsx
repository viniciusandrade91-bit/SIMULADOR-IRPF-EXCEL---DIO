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inel" sheetId="1" r:id="rId5"/>
    <sheet state="visible" name="Titular" sheetId="2" r:id="rId6"/>
    <sheet state="visible" name="Informes" sheetId="3" r:id="rId7"/>
    <sheet state="visible" name="Notas" sheetId="4" r:id="rId8"/>
    <sheet state="hidden" name="Bancos" sheetId="5" r:id="rId9"/>
  </sheets>
  <definedNames/>
  <calcPr/>
</workbook>
</file>

<file path=xl/sharedStrings.xml><?xml version="1.0" encoding="utf-8"?>
<sst xmlns="http://schemas.openxmlformats.org/spreadsheetml/2006/main" count="138" uniqueCount="107">
  <si>
    <t xml:space="preserve">Dados do Titular </t>
  </si>
  <si>
    <t xml:space="preserve">Informes Bancários </t>
  </si>
  <si>
    <t>Notas Bancárias</t>
  </si>
  <si>
    <t>1. DADOS DO TÍTULAR</t>
  </si>
  <si>
    <t>2. INFORMES DE RENDIMENTOS BANCÁRIOS</t>
  </si>
  <si>
    <t>3. NOTAS BANCÁRIAS OU EXTRATO DE HOLERITES</t>
  </si>
  <si>
    <t>preencha os dados da sua pessoa física abaixo</t>
  </si>
  <si>
    <t>Preencha com seus dados atuais de cada banco</t>
  </si>
  <si>
    <t>São todos os valores de entrada mês a mês de receita</t>
  </si>
  <si>
    <t>NOME</t>
  </si>
  <si>
    <t xml:space="preserve">Vinicius Andrade dos Santos </t>
  </si>
  <si>
    <t>CPF</t>
  </si>
  <si>
    <t>TOTAL</t>
  </si>
  <si>
    <t>NASCIMENTO</t>
  </si>
  <si>
    <t>TÍTULO DE ELEITOR</t>
  </si>
  <si>
    <t>CÔNJUGE</t>
  </si>
  <si>
    <t xml:space="preserve">Ewerton Barreto </t>
  </si>
  <si>
    <t>RUA</t>
  </si>
  <si>
    <t>Plantas e Florestas</t>
  </si>
  <si>
    <t>ENTRADAS</t>
  </si>
  <si>
    <t>RUA ABREVIADA</t>
  </si>
  <si>
    <t>-</t>
  </si>
  <si>
    <t>CEP</t>
  </si>
  <si>
    <t>TELEFONE</t>
  </si>
  <si>
    <t>DATA</t>
  </si>
  <si>
    <t>CELULAR</t>
  </si>
  <si>
    <t>CATEGORIA</t>
  </si>
  <si>
    <t>VALOR</t>
  </si>
  <si>
    <t>1º Banco</t>
  </si>
  <si>
    <t>E-MAIL</t>
  </si>
  <si>
    <t>vinicius.andrade91@gmail.com</t>
  </si>
  <si>
    <t>HOUVE ALTERAÇÕES DA ENTREGA ANTERIOR</t>
  </si>
  <si>
    <t>BANCO</t>
  </si>
  <si>
    <t>Não</t>
  </si>
  <si>
    <t>DEPENDENTE CÔNJUGE</t>
  </si>
  <si>
    <t>Sim</t>
  </si>
  <si>
    <t>Holerite</t>
  </si>
  <si>
    <t>RESIDENTE DO EXTERIOR</t>
  </si>
  <si>
    <t>1 - Banco do Brasil</t>
  </si>
  <si>
    <t>VALOR ATUAL</t>
  </si>
  <si>
    <t>← VOLTAR</t>
  </si>
  <si>
    <t>ANEXO 🖇️</t>
  </si>
  <si>
    <t>topazao_2025.pdf</t>
  </si>
  <si>
    <t>SEGUIR →</t>
  </si>
  <si>
    <t>2º Banco (opcional)</t>
  </si>
  <si>
    <t>82 - Banco Topázio</t>
  </si>
  <si>
    <t>CPJ</t>
  </si>
  <si>
    <t>3º Banco (opcional)</t>
  </si>
  <si>
    <t>477 - Citibank</t>
  </si>
  <si>
    <t>Gerenciador de Imposto de Renda - Ano Base [2025]</t>
  </si>
  <si>
    <t>Titular</t>
  </si>
  <si>
    <t>Informes</t>
  </si>
  <si>
    <t>Notas</t>
  </si>
  <si>
    <t>Preenchimento do seu IRPF (%)</t>
  </si>
  <si>
    <t>Feito</t>
  </si>
  <si>
    <t>Total IRPF</t>
  </si>
  <si>
    <t>Preenchido</t>
  </si>
  <si>
    <t xml:space="preserve">Mínimo </t>
  </si>
  <si>
    <t xml:space="preserve">Máximo </t>
  </si>
  <si>
    <t>Bancos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</si>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</sst>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00&quot;.&quot;000&quot;.&quot;000&quot;-&quot;00"/>
    <numFmt numFmtId="165" formatCode="dd/mm/yyyy"/>
    <numFmt numFmtId="166" formatCode="&quot;R$&quot;\ #,##0.00"/>
    <numFmt numFmtId="167" formatCode="&quot;(&quot;00&quot;)&quot;00000&quot;-&quot;0000"/>
    <numFmt numFmtId="168" formatCode="&quot;(&quot;00&quot;) &quot;00000&quot;-&quot;0000"/>
    <numFmt numFmtId="169" formatCode="d&quot; de &quot;mmm&quot; de &quot;yyyy"/>
    <numFmt numFmtId="170" formatCode="_([$R$ -416]* #,##0.00_);_([$R$ -416]* \(#,##0.00\);_([$R$ -416]* &quot;-&quot;??_);_(@_)"/>
    <numFmt numFmtId="171" formatCode="d/m/yyyy"/>
  </numFmts>
  <fonts count="24">
    <font>
      <sz val="10.0"/>
      <color rgb="FF000000"/>
      <name val="Arial"/>
      <scheme val="minor"/>
    </font>
    <font>
      <color theme="1"/>
      <name val="Arial"/>
      <scheme val="minor"/>
    </font>
    <font>
      <b/>
      <sz val="36.0"/>
      <color rgb="FFFFFFFF"/>
      <name val="Arial"/>
      <scheme val="minor"/>
    </font>
    <font/>
    <font>
      <b/>
      <sz val="12.0"/>
      <color rgb="FF4A86E8"/>
      <name val="Lexend"/>
    </font>
    <font>
      <sz val="12.0"/>
      <color theme="1"/>
      <name val="Lexend"/>
    </font>
    <font>
      <i/>
      <sz val="12.0"/>
      <color theme="1"/>
      <name val="Lexend"/>
    </font>
    <font>
      <b/>
      <sz val="12.0"/>
      <color theme="1"/>
      <name val="Lexend"/>
    </font>
    <font>
      <i/>
      <sz val="12.0"/>
      <color rgb="FF3A3A3A"/>
      <name val="Lexend"/>
    </font>
    <font>
      <b/>
      <sz val="12.0"/>
      <color rgb="FFFFFFFF"/>
      <name val="Lexend"/>
    </font>
    <font>
      <b/>
      <sz val="12.0"/>
      <color rgb="FF747474"/>
      <name val="Lexend"/>
    </font>
    <font>
      <b/>
      <u/>
      <sz val="12.0"/>
      <color theme="1"/>
      <name val="Lexend"/>
    </font>
    <font>
      <b/>
      <u/>
      <sz val="14.0"/>
      <color rgb="FFFFFFFF"/>
      <name val="Lexend"/>
    </font>
    <font>
      <b/>
      <u/>
      <sz val="14.0"/>
      <color rgb="FFFFFFFF"/>
      <name val="Lexend"/>
    </font>
    <font>
      <sz val="12.0"/>
      <color theme="1"/>
      <name val="Arial"/>
      <scheme val="minor"/>
    </font>
    <font>
      <b/>
      <sz val="14.0"/>
      <color theme="1"/>
      <name val="Lexend"/>
    </font>
    <font>
      <b/>
      <sz val="18.0"/>
      <color rgb="FFFFFFFF"/>
      <name val="Lexend"/>
    </font>
    <font>
      <b/>
      <sz val="24.0"/>
      <color theme="1"/>
      <name val="Lexend"/>
    </font>
    <font>
      <b/>
      <u/>
      <sz val="24.0"/>
      <color rgb="FFFFFFFF"/>
      <name val="Lexend"/>
    </font>
    <font>
      <b/>
      <sz val="24.0"/>
      <color rgb="FFFFFFFF"/>
      <name val="Lexend"/>
    </font>
    <font>
      <b/>
      <sz val="18.0"/>
      <color rgb="FFFFFFFF"/>
      <name val="Arial"/>
      <scheme val="minor"/>
    </font>
    <font>
      <color rgb="FFFFFFFF"/>
      <name val="Arial"/>
      <scheme val="minor"/>
    </font>
    <font>
      <sz val="11.0"/>
      <color rgb="FFFFFFFF"/>
      <name val="Aptos Narrow"/>
    </font>
    <font>
      <sz val="11.0"/>
      <color theme="1"/>
      <name val="Aptos Narrow"/>
    </font>
  </fonts>
  <fills count="9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3C78D8"/>
        <bgColor rgb="FF3C78D8"/>
      </patternFill>
    </fill>
    <fill>
      <patternFill patternType="solid">
        <fgColor rgb="FF000000"/>
        <bgColor rgb="FF000000"/>
      </patternFill>
    </fill>
  </fills>
  <borders count="2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double">
        <color rgb="FFFFFFFF"/>
      </left>
      <right style="double">
        <color rgb="FFFFFFFF"/>
      </right>
      <top style="double">
        <color rgb="FFFFFFFF"/>
      </top>
      <bottom style="double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double">
        <color rgb="FFFFFFFF"/>
      </left>
      <top style="double">
        <color rgb="FFFFFFFF"/>
      </top>
      <bottom style="double">
        <color rgb="FFFFFFFF"/>
      </bottom>
    </border>
    <border>
      <right style="double">
        <color rgb="FFFFFFFF"/>
      </right>
      <top style="double">
        <color rgb="FFFFFFFF"/>
      </top>
      <bottom style="double">
        <color rgb="FFFFFFFF"/>
      </bottom>
    </border>
    <border>
      <left style="double">
        <color rgb="FFFFFFFF"/>
      </left>
      <right style="double">
        <color rgb="FFFFFFFF"/>
      </right>
      <top style="double">
        <color rgb="FFFFFFFF"/>
      </top>
    </border>
    <border>
      <top style="double">
        <color rgb="FFFFFFFF"/>
      </top>
      <bottom style="double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double">
        <color rgb="FFFFFFFF"/>
      </left>
      <right style="thin">
        <color rgb="FFFFFFFF"/>
      </right>
      <top style="double">
        <color rgb="FFFFFFFF"/>
      </top>
      <bottom style="double">
        <color rgb="FFFFFFFF"/>
      </bottom>
    </border>
    <border>
      <left style="thin">
        <color rgb="FFFFFFFF"/>
      </left>
      <right style="double">
        <color rgb="FFFFFFFF"/>
      </right>
      <top style="double">
        <color rgb="FFFFFFFF"/>
      </top>
      <bottom style="double">
        <color rgb="FFFFFFFF"/>
      </bottom>
    </border>
    <border>
      <top style="thin">
        <color rgb="FFFFFFFF"/>
      </top>
    </border>
    <border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double">
        <color rgb="FFFFFFFF"/>
      </left>
      <top style="double">
        <color rgb="FFFFFFFF"/>
      </top>
      <bottom style="thin">
        <color rgb="FFFFFFFF"/>
      </bottom>
    </border>
    <border>
      <top style="double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2" fillId="2" fontId="2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1" numFmtId="0" xfId="0" applyBorder="1" applyFont="1"/>
    <xf borderId="8" fillId="0" fontId="1" numFmtId="0" xfId="0" applyAlignment="1" applyBorder="1" applyFont="1">
      <alignment horizontal="center"/>
    </xf>
    <xf borderId="9" fillId="0" fontId="1" numFmtId="0" xfId="0" applyBorder="1" applyFont="1"/>
    <xf borderId="10" fillId="0" fontId="4" numFmtId="0" xfId="0" applyAlignment="1" applyBorder="1" applyFont="1">
      <alignment vertical="bottom"/>
    </xf>
    <xf borderId="10" fillId="0" fontId="5" numFmtId="0" xfId="0" applyAlignment="1" applyBorder="1" applyFont="1">
      <alignment horizontal="center" vertical="bottom"/>
    </xf>
    <xf borderId="11" fillId="0" fontId="1" numFmtId="0" xfId="0" applyBorder="1" applyFont="1"/>
    <xf borderId="8" fillId="0" fontId="4" numFmtId="0" xfId="0" applyAlignment="1" applyBorder="1" applyFont="1">
      <alignment shrinkToFit="0" vertical="bottom" wrapText="0"/>
    </xf>
    <xf borderId="12" fillId="3" fontId="6" numFmtId="0" xfId="0" applyBorder="1" applyFill="1" applyFont="1"/>
    <xf borderId="8" fillId="0" fontId="7" numFmtId="0" xfId="0" applyAlignment="1" applyBorder="1" applyFont="1">
      <alignment horizontal="center" vertical="bottom"/>
    </xf>
    <xf borderId="8" fillId="0" fontId="5" numFmtId="0" xfId="0" applyAlignment="1" applyBorder="1" applyFont="1">
      <alignment vertical="bottom"/>
    </xf>
    <xf borderId="13" fillId="0" fontId="3" numFmtId="0" xfId="0" applyBorder="1" applyFont="1"/>
    <xf borderId="8" fillId="0" fontId="5" numFmtId="0" xfId="0" applyAlignment="1" applyBorder="1" applyFont="1">
      <alignment horizontal="center" vertical="bottom"/>
    </xf>
    <xf borderId="10" fillId="0" fontId="5" numFmtId="0" xfId="0" applyAlignment="1" applyBorder="1" applyFont="1">
      <alignment vertical="bottom"/>
    </xf>
    <xf borderId="12" fillId="3" fontId="8" numFmtId="0" xfId="0" applyBorder="1" applyFill="1" applyFont="1"/>
    <xf borderId="14" fillId="0" fontId="5" numFmtId="0" xfId="0" applyAlignment="1" applyBorder="1" applyFont="1">
      <alignment horizontal="center" vertical="bottom"/>
    </xf>
    <xf borderId="15" fillId="0" fontId="3" numFmtId="0" xfId="0" applyBorder="1" applyFont="1"/>
    <xf borderId="12" fillId="0" fontId="5" numFmtId="0" xfId="0" applyAlignment="1" applyBorder="1" applyFont="1">
      <alignment horizontal="right" vertical="bottom"/>
    </xf>
    <xf borderId="16" fillId="0" fontId="7" numFmtId="0" xfId="0" applyAlignment="1" applyBorder="1" applyFont="1">
      <alignment vertical="bottom"/>
    </xf>
    <xf borderId="1" fillId="3" fontId="7" numFmtId="49" xfId="0" applyAlignment="1" applyBorder="1" applyFill="1" applyFont="1" applyNumberFormat="1">
      <alignment horizontal="center" readingOrder="0" vertical="bottom"/>
    </xf>
    <xf borderId="16" fillId="0" fontId="7" numFmtId="0" xfId="0" applyAlignment="1" applyBorder="1" applyFont="1">
      <alignment horizontal="center" vertical="bottom"/>
    </xf>
    <xf borderId="16" fillId="0" fontId="5" numFmtId="0" xfId="0" applyAlignment="1" applyBorder="1" applyFont="1">
      <alignment vertical="bottom"/>
    </xf>
    <xf borderId="16" fillId="0" fontId="5" numFmtId="0" xfId="0" applyAlignment="1" applyBorder="1" applyFont="1">
      <alignment horizontal="center" vertical="bottom"/>
    </xf>
    <xf borderId="1" fillId="3" fontId="7" numFmtId="164" xfId="0" applyAlignment="1" applyBorder="1" applyFill="1" applyFont="1" applyNumberFormat="1">
      <alignment horizontal="center" readingOrder="0" vertical="bottom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bottom"/>
    </xf>
    <xf borderId="1" fillId="3" fontId="7" numFmtId="165" xfId="0" applyAlignment="1" applyBorder="1" applyFill="1" applyFont="1" applyNumberFormat="1">
      <alignment horizontal="center" readingOrder="0" vertical="bottom"/>
    </xf>
    <xf borderId="1" fillId="0" fontId="5" numFmtId="0" xfId="0" applyAlignment="1" applyBorder="1" applyFont="1">
      <alignment horizontal="center" vertical="bottom"/>
    </xf>
    <xf borderId="1" fillId="3" fontId="7" numFmtId="0" xfId="0" applyAlignment="1" applyBorder="1" applyFill="1" applyFont="1">
      <alignment horizontal="center" readingOrder="0" vertical="bottom"/>
    </xf>
    <xf borderId="0" fillId="0" fontId="1" numFmtId="0" xfId="0" applyAlignment="1" applyFont="1">
      <alignment horizontal="center"/>
    </xf>
    <xf borderId="9" fillId="2" fontId="9" numFmtId="166" xfId="0" applyAlignment="1" applyBorder="1" applyFill="1" applyFont="1" applyNumberFormat="1">
      <alignment horizontal="center" vertical="bottom"/>
    </xf>
    <xf borderId="12" fillId="4" fontId="5" numFmtId="0" xfId="0" applyAlignment="1" applyBorder="1" applyFill="1" applyFont="1">
      <alignment horizontal="center" vertical="bottom"/>
    </xf>
    <xf borderId="11" fillId="0" fontId="3" numFmtId="0" xfId="0" applyBorder="1" applyFont="1"/>
    <xf borderId="15" fillId="4" fontId="3" numFmtId="0" xfId="0" applyBorder="1" applyFill="1" applyFont="1"/>
    <xf borderId="13" fillId="4" fontId="3" numFmtId="0" xfId="0" applyBorder="1" applyFill="1" applyFont="1"/>
    <xf borderId="1" fillId="3" fontId="7" numFmtId="167" xfId="0" applyAlignment="1" applyBorder="1" applyFill="1" applyFont="1" applyNumberFormat="1">
      <alignment horizontal="center" readingOrder="0" vertical="bottom"/>
    </xf>
    <xf borderId="16" fillId="5" fontId="7" numFmtId="0" xfId="0" applyAlignment="1" applyBorder="1" applyFill="1" applyFont="1">
      <alignment horizontal="center" shrinkToFit="0" wrapText="0"/>
    </xf>
    <xf borderId="1" fillId="3" fontId="7" numFmtId="168" xfId="0" applyAlignment="1" applyBorder="1" applyFill="1" applyFont="1" applyNumberFormat="1">
      <alignment horizontal="center" readingOrder="0" vertical="bottom"/>
    </xf>
    <xf borderId="1" fillId="0" fontId="10" numFmtId="0" xfId="0" applyAlignment="1" applyBorder="1" applyFont="1">
      <alignment vertical="bottom"/>
    </xf>
    <xf borderId="1" fillId="3" fontId="11" numFmtId="0" xfId="0" applyAlignment="1" applyBorder="1" applyFill="1" applyFont="1">
      <alignment horizontal="center" readingOrder="0" vertical="bottom"/>
    </xf>
    <xf borderId="1" fillId="6" fontId="5" numFmtId="169" xfId="0" applyAlignment="1" applyBorder="1" applyFill="1" applyFont="1" applyNumberFormat="1">
      <alignment horizontal="center" readingOrder="0" shrinkToFit="0" wrapText="0"/>
    </xf>
    <xf borderId="1" fillId="0" fontId="7" numFmtId="0" xfId="0" applyAlignment="1" applyBorder="1" applyFont="1">
      <alignment horizontal="right" vertical="bottom"/>
    </xf>
    <xf borderId="1" fillId="6" fontId="5" numFmtId="49" xfId="0" applyAlignment="1" applyBorder="1" applyFill="1" applyFont="1" applyNumberFormat="1">
      <alignment horizontal="center" readingOrder="0" shrinkToFit="0" wrapText="0"/>
    </xf>
    <xf borderId="1" fillId="6" fontId="5" numFmtId="170" xfId="0" applyAlignment="1" applyBorder="1" applyFill="1" applyFont="1" applyNumberForma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6" fillId="0" fontId="1" numFmtId="0" xfId="0" applyBorder="1" applyFont="1"/>
    <xf borderId="16" fillId="0" fontId="1" numFmtId="0" xfId="0" applyAlignment="1" applyBorder="1" applyFont="1">
      <alignment horizontal="center"/>
    </xf>
    <xf borderId="1" fillId="5" fontId="5" numFmtId="169" xfId="0" applyAlignment="1" applyBorder="1" applyFill="1" applyFont="1" applyNumberFormat="1">
      <alignment horizontal="center" readingOrder="0" shrinkToFit="0" wrapText="0"/>
    </xf>
    <xf borderId="1" fillId="3" fontId="5" numFmtId="170" xfId="0" applyAlignment="1" applyBorder="1" applyFill="1" applyFont="1" applyNumberFormat="1">
      <alignment horizontal="center" readingOrder="0" vertical="bottom"/>
    </xf>
    <xf borderId="1" fillId="5" fontId="5" numFmtId="49" xfId="0" applyAlignment="1" applyBorder="1" applyFill="1" applyFont="1" applyNumberFormat="1">
      <alignment horizontal="center" shrinkToFit="0" wrapText="0"/>
    </xf>
    <xf borderId="1" fillId="5" fontId="5" numFmtId="170" xfId="0" applyAlignment="1" applyBorder="1" applyFill="1" applyFont="1" applyNumberFormat="1">
      <alignment horizontal="center"/>
    </xf>
    <xf borderId="1" fillId="3" fontId="5" numFmtId="0" xfId="0" applyAlignment="1" applyBorder="1" applyFill="1" applyFont="1">
      <alignment horizontal="center" vertical="bottom"/>
    </xf>
    <xf borderId="1" fillId="6" fontId="5" numFmtId="171" xfId="0" applyAlignment="1" applyBorder="1" applyFill="1" applyFont="1" applyNumberFormat="1">
      <alignment horizontal="center" readingOrder="0" shrinkToFit="0" wrapText="0"/>
    </xf>
    <xf borderId="17" fillId="7" fontId="12" numFmtId="0" xfId="0" applyAlignment="1" applyBorder="1" applyFill="1" applyFont="1">
      <alignment horizontal="center" readingOrder="0"/>
    </xf>
    <xf borderId="1" fillId="6" fontId="5" numFmtId="49" xfId="0" applyAlignment="1" applyBorder="1" applyFill="1" applyFont="1" applyNumberFormat="1">
      <alignment horizontal="center" shrinkToFit="0" wrapText="0"/>
    </xf>
    <xf borderId="1" fillId="6" fontId="5" numFmtId="170" xfId="0" applyAlignment="1" applyBorder="1" applyFill="1" applyFont="1" applyNumberFormat="1">
      <alignment horizontal="center"/>
    </xf>
    <xf borderId="18" fillId="7" fontId="13" numFmtId="0" xfId="0" applyAlignment="1" applyBorder="1" applyFill="1" applyFont="1">
      <alignment horizontal="center" readingOrder="0"/>
    </xf>
    <xf borderId="1" fillId="0" fontId="10" numFmtId="0" xfId="0" applyAlignment="1" applyBorder="1" applyFont="1">
      <alignment readingOrder="0" vertical="bottom"/>
    </xf>
    <xf borderId="1" fillId="5" fontId="5" numFmtId="49" xfId="0" applyAlignment="1" applyBorder="1" applyFill="1" applyFont="1" applyNumberFormat="1">
      <alignment horizontal="center" readingOrder="0" shrinkToFit="0" wrapText="0"/>
    </xf>
    <xf borderId="1" fillId="5" fontId="5" numFmtId="170" xfId="0" applyAlignment="1" applyBorder="1" applyFill="1" applyFont="1" applyNumberFormat="1">
      <alignment horizontal="center" readingOrder="0"/>
    </xf>
    <xf borderId="1" fillId="0" fontId="14" numFmtId="0" xfId="0" applyBorder="1" applyFont="1"/>
    <xf borderId="1" fillId="0" fontId="14" numFmtId="0" xfId="0" applyAlignment="1" applyBorder="1" applyFont="1">
      <alignment horizontal="center"/>
    </xf>
    <xf borderId="1" fillId="5" fontId="5" numFmtId="0" xfId="0" applyAlignment="1" applyBorder="1" applyFill="1" applyFont="1">
      <alignment horizontal="center" shrinkToFit="0" wrapText="0"/>
    </xf>
    <xf borderId="1" fillId="5" fontId="5" numFmtId="0" xfId="0" applyAlignment="1" applyBorder="1" applyFill="1" applyFont="1">
      <alignment horizontal="center"/>
    </xf>
    <xf borderId="18" fillId="0" fontId="15" numFmtId="0" xfId="0" applyAlignment="1" applyBorder="1" applyFont="1">
      <alignment horizontal="center" readingOrder="0"/>
    </xf>
    <xf borderId="2" fillId="2" fontId="16" numFmtId="0" xfId="0" applyAlignment="1" applyBorder="1" applyFill="1" applyFont="1">
      <alignment horizontal="right" readingOrder="0" vertical="center"/>
    </xf>
    <xf borderId="19" fillId="0" fontId="3" numFmtId="0" xfId="0" applyBorder="1" applyFont="1"/>
    <xf borderId="20" fillId="0" fontId="3" numFmtId="0" xfId="0" applyBorder="1" applyFont="1"/>
    <xf borderId="2" fillId="0" fontId="17" numFmtId="0" xfId="0" applyAlignment="1" applyBorder="1" applyFont="1">
      <alignment horizontal="center" readingOrder="0"/>
    </xf>
    <xf borderId="12" fillId="2" fontId="18" numFmtId="0" xfId="0" applyAlignment="1" applyBorder="1" applyFill="1" applyFont="1">
      <alignment horizontal="center" readingOrder="0"/>
    </xf>
    <xf borderId="21" fillId="0" fontId="19" numFmtId="0" xfId="0" applyAlignment="1" applyBorder="1" applyFont="1">
      <alignment horizontal="center" readingOrder="0"/>
    </xf>
    <xf borderId="22" fillId="2" fontId="20" numFmtId="0" xfId="0" applyAlignment="1" applyBorder="1" applyFill="1" applyFont="1">
      <alignment horizontal="left" readingOrder="0" shrinkToFit="0" wrapText="0"/>
    </xf>
    <xf borderId="23" fillId="0" fontId="3" numFmtId="0" xfId="0" applyBorder="1" applyFont="1"/>
    <xf borderId="23" fillId="0" fontId="20" numFmtId="0" xfId="0" applyAlignment="1" applyBorder="1" applyFont="1">
      <alignment horizontal="center" readingOrder="0" shrinkToFit="0" wrapText="0"/>
    </xf>
    <xf borderId="1" fillId="0" fontId="20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center" readingOrder="0"/>
    </xf>
    <xf borderId="1" fillId="3" fontId="9" numFmtId="0" xfId="0" applyAlignment="1" applyBorder="1" applyFill="1" applyFont="1">
      <alignment horizontal="center" readingOrder="0"/>
    </xf>
    <xf borderId="1" fillId="0" fontId="1" numFmtId="10" xfId="0" applyAlignment="1" applyBorder="1" applyFont="1" applyNumberFormat="1">
      <alignment horizontal="center" readingOrder="0"/>
    </xf>
    <xf borderId="1" fillId="0" fontId="9" numFmtId="0" xfId="0" applyAlignment="1" applyBorder="1" applyFont="1">
      <alignment horizontal="center"/>
    </xf>
    <xf borderId="9" fillId="0" fontId="1" numFmtId="0" xfId="0" applyAlignment="1" applyBorder="1" applyFont="1">
      <alignment horizontal="center" readingOrder="0"/>
    </xf>
    <xf borderId="21" fillId="0" fontId="3" numFmtId="0" xfId="0" applyBorder="1" applyFont="1"/>
    <xf borderId="1" fillId="0" fontId="7" numFmtId="0" xfId="0" applyAlignment="1" applyBorder="1" applyFont="1">
      <alignment horizontal="center" readingOrder="0"/>
    </xf>
    <xf borderId="1" fillId="0" fontId="1" numFmtId="10" xfId="0" applyAlignment="1" applyBorder="1" applyFont="1" applyNumberFormat="1">
      <alignment horizontal="center"/>
    </xf>
    <xf borderId="1" fillId="0" fontId="7" numFmtId="0" xfId="0" applyAlignment="1" applyBorder="1" applyFont="1">
      <alignment horizontal="center"/>
    </xf>
    <xf borderId="1" fillId="0" fontId="15" numFmtId="0" xfId="0" applyAlignment="1" applyBorder="1" applyFont="1">
      <alignment horizontal="center" readingOrder="0"/>
    </xf>
    <xf borderId="1" fillId="0" fontId="21" numFmtId="0" xfId="0" applyAlignment="1" applyBorder="1" applyFont="1">
      <alignment horizontal="center"/>
    </xf>
    <xf borderId="1" fillId="0" fontId="21" numFmtId="0" xfId="0" applyBorder="1" applyFont="1"/>
    <xf borderId="24" fillId="8" fontId="22" numFmtId="0" xfId="0" applyAlignment="1" applyBorder="1" applyFill="1" applyFont="1">
      <alignment readingOrder="0" vertical="bottom"/>
    </xf>
    <xf borderId="24" fillId="0" fontId="23" numFmtId="0" xfId="0" applyAlignment="1" applyBorder="1" applyFont="1">
      <alignment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Painel!$C$32</c:f>
            </c:strRef>
          </c:tx>
          <c:spPr>
            <a:solidFill>
              <a:srgbClr val="5B95F9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Lexend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Painel!$B$33</c:f>
            </c:strRef>
          </c:cat>
          <c:val>
            <c:numRef>
              <c:f>Painel!$C$33</c:f>
              <c:numCache/>
            </c:numRef>
          </c:val>
        </c:ser>
        <c:axId val="262874992"/>
        <c:axId val="2003605457"/>
      </c:bar3DChart>
      <c:catAx>
        <c:axId val="26287499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3605457"/>
      </c:catAx>
      <c:valAx>
        <c:axId val="20036054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Complete seu preenchimento até 100%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287499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Painel!$C$45</c:f>
            </c:strRef>
          </c:tx>
          <c:spPr>
            <a:solidFill>
              <a:srgbClr val="5B95F9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Lexend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Painel!$B$46</c:f>
            </c:strRef>
          </c:cat>
          <c:val>
            <c:numRef>
              <c:f>Painel!$C$46</c:f>
              <c:numCache/>
            </c:numRef>
          </c:val>
        </c:ser>
        <c:axId val="1494143392"/>
        <c:axId val="1657693118"/>
      </c:bar3DChart>
      <c:catAx>
        <c:axId val="149414339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7693118"/>
      </c:catAx>
      <c:valAx>
        <c:axId val="16576931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Complete seu preenchimento até 100%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414339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Painel!$C$58</c:f>
            </c:strRef>
          </c:tx>
          <c:spPr>
            <a:solidFill>
              <a:srgbClr val="5B95F9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Lexend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Painel!$B$59</c:f>
            </c:strRef>
          </c:cat>
          <c:val>
            <c:numRef>
              <c:f>Painel!$C$59</c:f>
              <c:numCache/>
            </c:numRef>
          </c:val>
        </c:ser>
        <c:axId val="886624304"/>
        <c:axId val="1050802108"/>
      </c:bar3DChart>
      <c:catAx>
        <c:axId val="8866243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0802108"/>
      </c:catAx>
      <c:valAx>
        <c:axId val="10508021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Complete seu preenchimento até 100%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662430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bar"/>
        <c:grouping val="stacked"/>
        <c:varyColors val="0"/>
        <c:ser>
          <c:idx val="0"/>
          <c:order val="0"/>
          <c:spPr>
            <a:solidFill>
              <a:srgbClr val="5B95F9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Lexend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Painel!$B$20:$B$21</c:f>
            </c:strRef>
          </c:cat>
          <c:val>
            <c:numRef>
              <c:f>Painel!$C$20:$C$21</c:f>
              <c:numCache/>
            </c:numRef>
          </c:val>
        </c:ser>
        <c:axId val="1464217947"/>
        <c:axId val="13238324"/>
      </c:bar3DChart>
      <c:catAx>
        <c:axId val="14642179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38324"/>
      </c:catAx>
      <c:valAx>
        <c:axId val="132383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Complete seu preenchimento até 100%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4217947"/>
        <c:crosses val="max"/>
      </c:valAx>
    </c:plotArea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34</xdr:row>
      <xdr:rowOff>0</xdr:rowOff>
    </xdr:from>
    <xdr:ext cx="5381625" cy="21526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419100</xdr:colOff>
      <xdr:row>46</xdr:row>
      <xdr:rowOff>57150</xdr:rowOff>
    </xdr:from>
    <xdr:ext cx="5362575" cy="20764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9525</xdr:colOff>
      <xdr:row>59</xdr:row>
      <xdr:rowOff>114300</xdr:rowOff>
    </xdr:from>
    <xdr:ext cx="5381625" cy="20574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19050</xdr:colOff>
      <xdr:row>21</xdr:row>
      <xdr:rowOff>95250</xdr:rowOff>
    </xdr:from>
    <xdr:ext cx="5295900" cy="192405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0</xdr:colOff>
      <xdr:row>0</xdr:row>
      <xdr:rowOff>0</xdr:rowOff>
    </xdr:from>
    <xdr:ext cx="1657350" cy="14192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</cols>
  <sheetData>
    <row r="1">
      <c r="A1" s="1"/>
      <c r="B1" s="74" t="s">
        <v>49</v>
      </c>
      <c r="C1" s="75"/>
      <c r="D1" s="75"/>
      <c r="E1" s="75"/>
      <c r="F1" s="75"/>
      <c r="G1" s="75"/>
      <c r="H1" s="75"/>
      <c r="I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5"/>
      <c r="I2" s="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/>
      <c r="I3" s="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5"/>
      <c r="I5" s="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5"/>
      <c r="I6" s="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5"/>
      <c r="I7" s="6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7"/>
      <c r="C8" s="76"/>
      <c r="D8" s="76"/>
      <c r="E8" s="76"/>
      <c r="F8" s="76"/>
      <c r="G8" s="76"/>
      <c r="H8" s="76"/>
      <c r="I8" s="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"/>
      <c r="C9" s="2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"/>
      <c r="C10" s="2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0"/>
      <c r="C11" s="10"/>
      <c r="D11" s="2"/>
      <c r="E11" s="9"/>
      <c r="F11" s="77"/>
      <c r="G11" s="1"/>
      <c r="H11" s="9"/>
      <c r="I11" s="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1"/>
      <c r="B12" s="78" t="s">
        <v>50</v>
      </c>
      <c r="C12" s="19"/>
      <c r="D12" s="38"/>
      <c r="E12" s="78" t="s">
        <v>51</v>
      </c>
      <c r="F12" s="19"/>
      <c r="G12" s="79"/>
      <c r="H12" s="78" t="s">
        <v>52</v>
      </c>
      <c r="I12" s="19"/>
      <c r="J12" s="14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55"/>
      <c r="C13" s="55"/>
      <c r="D13" s="2"/>
      <c r="E13" s="54"/>
      <c r="F13" s="54"/>
      <c r="G13" s="1"/>
      <c r="H13" s="54"/>
      <c r="I13" s="5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"/>
      <c r="C14" s="2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"/>
      <c r="C15" s="2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0"/>
      <c r="C16" s="10"/>
      <c r="D16" s="10"/>
      <c r="E16" s="9"/>
      <c r="F16" s="9"/>
      <c r="G16" s="9"/>
      <c r="H16" s="9"/>
      <c r="I16" s="9"/>
      <c r="J16" s="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1"/>
      <c r="B17" s="80" t="s">
        <v>53</v>
      </c>
      <c r="C17" s="81"/>
      <c r="D17" s="81"/>
      <c r="E17" s="81"/>
      <c r="F17" s="82"/>
      <c r="G17" s="83"/>
      <c r="H17" s="83"/>
      <c r="I17" s="83"/>
      <c r="J17" s="1"/>
      <c r="K17" s="14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55"/>
      <c r="C18" s="55"/>
      <c r="D18" s="55"/>
      <c r="E18" s="1"/>
      <c r="F18" s="1"/>
      <c r="G18" s="54"/>
      <c r="H18" s="54"/>
      <c r="I18" s="54"/>
      <c r="J18" s="5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/>
      <c r="B19" s="2"/>
      <c r="C19" s="84"/>
      <c r="D19" s="84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84" t="s">
        <v>54</v>
      </c>
      <c r="D20" s="84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/>
      <c r="B21" s="85" t="s">
        <v>55</v>
      </c>
      <c r="C21" s="86">
        <f>SUM(C33,C46,C59)/3</f>
        <v>0.7222222222</v>
      </c>
      <c r="D21" s="8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87"/>
      <c r="C22" s="86"/>
      <c r="D22" s="2"/>
      <c r="E22" s="1"/>
      <c r="F22" s="1"/>
      <c r="G22" s="1"/>
      <c r="H22" s="1"/>
      <c r="I22" s="1"/>
      <c r="J22" s="1"/>
      <c r="K22" s="1"/>
      <c r="L22" s="88" t="s">
        <v>50</v>
      </c>
      <c r="M22" s="89"/>
      <c r="N22" s="4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90"/>
      <c r="C23" s="91"/>
      <c r="D23" s="2"/>
      <c r="E23" s="1"/>
      <c r="F23" s="1"/>
      <c r="G23" s="1"/>
      <c r="H23" s="1"/>
      <c r="I23" s="1"/>
      <c r="J23" s="1"/>
      <c r="K23" s="1"/>
      <c r="L23" s="84" t="s">
        <v>56</v>
      </c>
      <c r="M23" s="84" t="s">
        <v>57</v>
      </c>
      <c r="N23" s="84" t="s">
        <v>58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92"/>
      <c r="C24" s="91"/>
      <c r="D24" s="86"/>
      <c r="E24" s="1"/>
      <c r="F24" s="1"/>
      <c r="G24" s="1"/>
      <c r="H24" s="1"/>
      <c r="I24" s="1"/>
      <c r="J24" s="1"/>
      <c r="K24" s="1"/>
      <c r="L24" s="91">
        <f>(COUNTA(Titular!C9:C22)/M24)</f>
        <v>1.166666667</v>
      </c>
      <c r="M24" s="84">
        <v>12.0</v>
      </c>
      <c r="N24" s="84">
        <v>14.0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90"/>
      <c r="C25" s="9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92"/>
      <c r="C26" s="91"/>
      <c r="D26" s="2"/>
      <c r="E26" s="1"/>
      <c r="F26" s="1"/>
      <c r="G26" s="1"/>
      <c r="H26" s="1"/>
      <c r="I26" s="1"/>
      <c r="J26" s="1"/>
      <c r="K26" s="1"/>
      <c r="L26" s="88" t="s">
        <v>51</v>
      </c>
      <c r="M26" s="89"/>
      <c r="N26" s="4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90"/>
      <c r="C27" s="91"/>
      <c r="D27" s="2"/>
      <c r="E27" s="1"/>
      <c r="F27" s="1"/>
      <c r="G27" s="1"/>
      <c r="H27" s="1"/>
      <c r="I27" s="1"/>
      <c r="J27" s="1"/>
      <c r="K27" s="1"/>
      <c r="L27" s="84" t="s">
        <v>56</v>
      </c>
      <c r="M27" s="84" t="s">
        <v>57</v>
      </c>
      <c r="N27" s="84" t="s">
        <v>58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93"/>
      <c r="C28" s="91"/>
      <c r="D28" s="86"/>
      <c r="E28" s="1"/>
      <c r="F28" s="1"/>
      <c r="G28" s="1"/>
      <c r="H28" s="1"/>
      <c r="I28" s="1"/>
      <c r="J28" s="1"/>
      <c r="K28" s="1"/>
      <c r="L28" s="91">
        <f>(COUNTA(Informes!C13:C15)/M28)</f>
        <v>1</v>
      </c>
      <c r="M28" s="84">
        <v>3.0</v>
      </c>
      <c r="N28" s="84">
        <v>9.0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"/>
      <c r="C29" s="2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"/>
      <c r="C30" s="2"/>
      <c r="D30" s="2"/>
      <c r="E30" s="1"/>
      <c r="F30" s="1"/>
      <c r="G30" s="1"/>
      <c r="H30" s="1"/>
      <c r="I30" s="1"/>
      <c r="J30" s="1"/>
      <c r="K30" s="1"/>
      <c r="L30" s="88" t="s">
        <v>52</v>
      </c>
      <c r="M30" s="89"/>
      <c r="N30" s="4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"/>
      <c r="C31" s="2"/>
      <c r="D31" s="2"/>
      <c r="E31" s="1"/>
      <c r="F31" s="1"/>
      <c r="G31" s="1"/>
      <c r="H31" s="1"/>
      <c r="I31" s="1"/>
      <c r="J31" s="1"/>
      <c r="K31" s="1"/>
      <c r="L31" s="84" t="s">
        <v>56</v>
      </c>
      <c r="M31" s="84" t="s">
        <v>57</v>
      </c>
      <c r="N31" s="84" t="s">
        <v>58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"/>
      <c r="C32" s="84" t="s">
        <v>54</v>
      </c>
      <c r="D32" s="84"/>
      <c r="E32" s="1"/>
      <c r="F32" s="1"/>
      <c r="G32" s="1"/>
      <c r="H32" s="1"/>
      <c r="I32" s="1"/>
      <c r="J32" s="1"/>
      <c r="K32" s="1"/>
      <c r="L32" s="91">
        <f>(COUNTA(Informes!C17:C19)/M32)</f>
        <v>0.1666666667</v>
      </c>
      <c r="M32" s="84">
        <v>12.0</v>
      </c>
      <c r="N32" s="84">
        <v>26.0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85" t="s">
        <v>50</v>
      </c>
      <c r="C33" s="91">
        <f>MIN(L24,100%) </f>
        <v>1</v>
      </c>
      <c r="D33" s="8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"/>
      <c r="C34" s="2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"/>
      <c r="C42" s="2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"/>
      <c r="C43" s="2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"/>
      <c r="C44" s="2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"/>
      <c r="C45" s="84" t="s">
        <v>54</v>
      </c>
      <c r="D45" s="84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85" t="s">
        <v>51</v>
      </c>
      <c r="C46" s="91">
        <f>MIN(L28,100%) </f>
        <v>1</v>
      </c>
      <c r="D46" s="86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"/>
      <c r="C47" s="2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"/>
      <c r="C48" s="2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"/>
      <c r="C49" s="2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"/>
      <c r="C50" s="2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"/>
      <c r="C51" s="2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"/>
      <c r="C52" s="2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"/>
      <c r="C53" s="2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"/>
      <c r="C54" s="2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"/>
      <c r="C55" s="2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"/>
      <c r="C56" s="2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"/>
      <c r="C57" s="2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"/>
      <c r="C58" s="84" t="s">
        <v>54</v>
      </c>
      <c r="D58" s="84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85" t="s">
        <v>52</v>
      </c>
      <c r="C59" s="91">
        <f>MIN(L32,100%) </f>
        <v>0.1666666667</v>
      </c>
      <c r="D59" s="86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"/>
      <c r="C60" s="2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"/>
      <c r="C61" s="2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"/>
      <c r="C62" s="2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"/>
      <c r="C63" s="94"/>
      <c r="D63" s="94"/>
      <c r="E63" s="9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"/>
      <c r="C64" s="94"/>
      <c r="D64" s="94"/>
      <c r="E64" s="9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"/>
      <c r="C65" s="94"/>
      <c r="D65" s="94"/>
      <c r="E65" s="9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"/>
      <c r="C66" s="94"/>
      <c r="D66" s="94"/>
      <c r="E66" s="9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"/>
      <c r="C67" s="94"/>
      <c r="D67" s="94"/>
      <c r="E67" s="9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"/>
      <c r="C68" s="94"/>
      <c r="D68" s="94"/>
      <c r="E68" s="9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"/>
      <c r="C69" s="94"/>
      <c r="D69" s="94"/>
      <c r="E69" s="9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"/>
      <c r="C70" s="94"/>
      <c r="D70" s="94"/>
      <c r="E70" s="9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"/>
      <c r="C71" s="2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"/>
      <c r="C72" s="2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"/>
      <c r="C73" s="2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"/>
      <c r="C74" s="2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"/>
      <c r="C75" s="2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"/>
      <c r="C76" s="2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"/>
      <c r="C77" s="2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"/>
      <c r="C78" s="2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"/>
      <c r="C79" s="2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"/>
      <c r="C80" s="2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"/>
      <c r="C81" s="2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"/>
      <c r="C82" s="2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"/>
      <c r="C83" s="2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"/>
      <c r="C84" s="2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"/>
      <c r="C85" s="2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"/>
      <c r="C86" s="2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"/>
      <c r="C87" s="2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"/>
      <c r="C88" s="2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"/>
      <c r="C89" s="2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"/>
      <c r="C90" s="2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"/>
      <c r="C91" s="2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"/>
      <c r="C92" s="2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"/>
      <c r="C93" s="2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"/>
      <c r="C94" s="2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"/>
      <c r="C95" s="2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"/>
      <c r="C96" s="2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"/>
      <c r="C97" s="2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"/>
      <c r="C98" s="2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"/>
      <c r="C99" s="2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"/>
      <c r="C100" s="2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"/>
      <c r="C101" s="2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"/>
      <c r="C102" s="2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"/>
      <c r="C103" s="2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2"/>
      <c r="C104" s="2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"/>
      <c r="C105" s="2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2"/>
      <c r="C106" s="2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"/>
      <c r="C107" s="2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"/>
      <c r="C108" s="2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"/>
      <c r="C109" s="2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2"/>
      <c r="C110" s="2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"/>
      <c r="C112" s="2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2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2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2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2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2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2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2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2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2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2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2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2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2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2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2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2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2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2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2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2"/>
      <c r="C145" s="2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2"/>
      <c r="C146" s="2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2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2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2"/>
      <c r="C149" s="2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2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2"/>
      <c r="C151" s="2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2"/>
      <c r="C152" s="2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2"/>
      <c r="C153" s="2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2"/>
      <c r="C154" s="2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2"/>
      <c r="C155" s="2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2"/>
      <c r="C156" s="2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2"/>
      <c r="C157" s="2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2"/>
      <c r="C158" s="2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2"/>
      <c r="C159" s="2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2"/>
      <c r="C160" s="2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2"/>
      <c r="C161" s="2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2"/>
      <c r="C162" s="2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2"/>
      <c r="C163" s="2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2"/>
      <c r="C164" s="2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2"/>
      <c r="C165" s="2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2"/>
      <c r="C166" s="2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2"/>
      <c r="C167" s="2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2"/>
      <c r="C168" s="2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2"/>
      <c r="C169" s="2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2"/>
      <c r="C170" s="2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2"/>
      <c r="C171" s="2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2"/>
      <c r="C172" s="2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2"/>
      <c r="C173" s="2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2"/>
      <c r="C174" s="2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2"/>
      <c r="C175" s="2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2"/>
      <c r="C176" s="2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2"/>
      <c r="C177" s="2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2"/>
      <c r="C178" s="2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2"/>
      <c r="C179" s="2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2"/>
      <c r="C180" s="2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2"/>
      <c r="C181" s="2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2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2"/>
      <c r="C183" s="2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2"/>
      <c r="C184" s="2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2"/>
      <c r="C185" s="2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2"/>
      <c r="C186" s="2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2"/>
      <c r="C187" s="2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2"/>
      <c r="C188" s="2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2"/>
      <c r="C189" s="2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2"/>
      <c r="C190" s="2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2"/>
      <c r="C191" s="2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2"/>
      <c r="C192" s="2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2"/>
      <c r="C193" s="2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2"/>
      <c r="C194" s="2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2"/>
      <c r="C195" s="2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2"/>
      <c r="C196" s="2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2"/>
      <c r="C197" s="2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2"/>
      <c r="C198" s="2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2"/>
      <c r="C199" s="2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2"/>
      <c r="C200" s="2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2"/>
      <c r="C201" s="2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2"/>
      <c r="C202" s="2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2"/>
      <c r="C203" s="2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2"/>
      <c r="C204" s="2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2"/>
      <c r="C205" s="2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2"/>
      <c r="C206" s="2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2"/>
      <c r="C207" s="2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2"/>
      <c r="C208" s="2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2"/>
      <c r="C209" s="2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2"/>
      <c r="C210" s="2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2"/>
      <c r="C211" s="2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2"/>
      <c r="C212" s="2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2"/>
      <c r="C213" s="2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2"/>
      <c r="C214" s="2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2"/>
      <c r="C215" s="2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2"/>
      <c r="C216" s="2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2"/>
      <c r="C217" s="2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2"/>
      <c r="C218" s="2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2"/>
      <c r="C219" s="2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2"/>
      <c r="C220" s="2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2"/>
      <c r="C221" s="2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2"/>
      <c r="C222" s="2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2"/>
      <c r="C223" s="2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2"/>
      <c r="C224" s="2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2"/>
      <c r="C225" s="2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2"/>
      <c r="C226" s="2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2"/>
      <c r="C227" s="2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2"/>
      <c r="C228" s="2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2"/>
      <c r="C229" s="2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2"/>
      <c r="C230" s="2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2"/>
      <c r="C231" s="2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2"/>
      <c r="C232" s="2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2"/>
      <c r="C233" s="2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2"/>
      <c r="C234" s="2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2"/>
      <c r="C235" s="2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2"/>
      <c r="C236" s="2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2"/>
      <c r="C237" s="2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2"/>
      <c r="C238" s="2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2"/>
      <c r="C239" s="2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2"/>
      <c r="C240" s="2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2"/>
      <c r="C241" s="2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2"/>
      <c r="C242" s="2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2"/>
      <c r="C243" s="2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2"/>
      <c r="C244" s="2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2"/>
      <c r="C245" s="2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2"/>
      <c r="C246" s="2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2"/>
      <c r="C247" s="2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2"/>
      <c r="C248" s="2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2"/>
      <c r="C249" s="2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2"/>
      <c r="C250" s="2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2"/>
      <c r="C251" s="2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2"/>
      <c r="C252" s="2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2"/>
      <c r="C253" s="2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2"/>
      <c r="C254" s="2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2"/>
      <c r="C255" s="2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2"/>
      <c r="C256" s="2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2"/>
      <c r="C257" s="2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2"/>
      <c r="C258" s="2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2"/>
      <c r="C259" s="2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2"/>
      <c r="C260" s="2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2"/>
      <c r="C261" s="2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2"/>
      <c r="C262" s="2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2"/>
      <c r="C263" s="2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2"/>
      <c r="C264" s="2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2"/>
      <c r="C265" s="2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2"/>
      <c r="C266" s="2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2"/>
      <c r="C267" s="2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2"/>
      <c r="C268" s="2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2"/>
      <c r="C269" s="2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2"/>
      <c r="C270" s="2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2"/>
      <c r="C271" s="2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2"/>
      <c r="C272" s="2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2"/>
      <c r="C273" s="2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2"/>
      <c r="C274" s="2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2"/>
      <c r="C275" s="2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2"/>
      <c r="C276" s="2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2"/>
      <c r="C277" s="2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2"/>
      <c r="C278" s="2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2"/>
      <c r="C279" s="2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2"/>
      <c r="C280" s="2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2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2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2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2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2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2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2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2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2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2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2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2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2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2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2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2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2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2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2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2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2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2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2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2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2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2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2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2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2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2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2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2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2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2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2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2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2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2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2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2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2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2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2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2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2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2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2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2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2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2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2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2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2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2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2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2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2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2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2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2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2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2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2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2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2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2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2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2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2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2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2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2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2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2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2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2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2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2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2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2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2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2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2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2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2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2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2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2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2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2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2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2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2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2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2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2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2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2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2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2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2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2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2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2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2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2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2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2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2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2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2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2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2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2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2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2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2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2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2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2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2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2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2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2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2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2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2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2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2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2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2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2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2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2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2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2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2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2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2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2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2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2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2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2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2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2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2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2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2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2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2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2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2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2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2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2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2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2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2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2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2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2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2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2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2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2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2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2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2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2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2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2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2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2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2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2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2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2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2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2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2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2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2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2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2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2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2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2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2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2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2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2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2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2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2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2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2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2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2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2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2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2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2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2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2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2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2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2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2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2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2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2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2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2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2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2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2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2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2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2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2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2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2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2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2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2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2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2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2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2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2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2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2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2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2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2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2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2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2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2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2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2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2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2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2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2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2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2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2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2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2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2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2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2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2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2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2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2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2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2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2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2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2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2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2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2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2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2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2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2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2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2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2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2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2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2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2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2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2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2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2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2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2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2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2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2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2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2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2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2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2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2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2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2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2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2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2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2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2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2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2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2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2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2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2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2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2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2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2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2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2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2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2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2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2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2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2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2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2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2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2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2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2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2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2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2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2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2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2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2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2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2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2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2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2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2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2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2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2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2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2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2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2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2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2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2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2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2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2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2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2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2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2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2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2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2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2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2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2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2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2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2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2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2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2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2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2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2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2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2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2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2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2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2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2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2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2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2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2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2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2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2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2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2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2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2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2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2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2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2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2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2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2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2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2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2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2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2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2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2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2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2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2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2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2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2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2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2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2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2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2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2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2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2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2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2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2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2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2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2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2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2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2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2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2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2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2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2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2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2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2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2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2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2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2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2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2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2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2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2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2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2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2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2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2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2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2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2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2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2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2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2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2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2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2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2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2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2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2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2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2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2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2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2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2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2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2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2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2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2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2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2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2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2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2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2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2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2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2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2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2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2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2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2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2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2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2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2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2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2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2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2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2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2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2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2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2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2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2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2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2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2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2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2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2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2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2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2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2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2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2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2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2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2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2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2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2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2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2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2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2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2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2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2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2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2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2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2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2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2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2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2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2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2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2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2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2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2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2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2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2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2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2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2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2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2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2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2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2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2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2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2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2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2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2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2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2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2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2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2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2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2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2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2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2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2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2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2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2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2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2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2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2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2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2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2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2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2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2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2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2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2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2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2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2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2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2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2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2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2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2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2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2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2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2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2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2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2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2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2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2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2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2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2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2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2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2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2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2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2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2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2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2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2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2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2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2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2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2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2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2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2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2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2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2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2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2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2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2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2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2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2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2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2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2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2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2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2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2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2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2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2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2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2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2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2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2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2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2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2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2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2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2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2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2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2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2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2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2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2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2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2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2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2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2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2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2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2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2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2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2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2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2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2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2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2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2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2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2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2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2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2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2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2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2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2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2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2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2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2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2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2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2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2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2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2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2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2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2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2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2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2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2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2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2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2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2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2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2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2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2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2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2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2"/>
      <c r="C994" s="2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2"/>
      <c r="C995" s="2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2"/>
      <c r="C996" s="2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2"/>
      <c r="C997" s="2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2"/>
      <c r="C998" s="2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2"/>
      <c r="C999" s="2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2"/>
      <c r="C1000" s="2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2"/>
      <c r="C1001" s="2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8">
    <mergeCell ref="B1:I8"/>
    <mergeCell ref="B12:C12"/>
    <mergeCell ref="E12:F12"/>
    <mergeCell ref="H12:I12"/>
    <mergeCell ref="B17:E17"/>
    <mergeCell ref="L22:N22"/>
    <mergeCell ref="L26:N26"/>
    <mergeCell ref="L30:N30"/>
  </mergeCells>
  <hyperlinks>
    <hyperlink display="Titular" location="Titular!A1" ref="B12"/>
    <hyperlink display="Informes" location="Informes!A1" ref="E12"/>
    <hyperlink display="Notas" location="Notas!A1" ref="H12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0"/>
    <col customWidth="1" min="3" max="3" width="54.38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5"/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7"/>
      <c r="C4" s="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9"/>
      <c r="C5" s="10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1"/>
      <c r="B6" s="12" t="s">
        <v>3</v>
      </c>
      <c r="C6" s="13"/>
      <c r="D6" s="1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1"/>
      <c r="B7" s="16" t="s">
        <v>6</v>
      </c>
      <c r="C7" s="19"/>
      <c r="D7" s="1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1"/>
      <c r="B8" s="21"/>
      <c r="C8" s="23"/>
      <c r="D8" s="1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1"/>
      <c r="B9" s="25" t="s">
        <v>9</v>
      </c>
      <c r="C9" s="27" t="s">
        <v>10</v>
      </c>
      <c r="D9" s="14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1"/>
      <c r="B10" s="25" t="s">
        <v>11</v>
      </c>
      <c r="C10" s="31">
        <v>1.234567899E9</v>
      </c>
      <c r="D10" s="14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1"/>
      <c r="B11" s="25" t="s">
        <v>13</v>
      </c>
      <c r="C11" s="35">
        <v>33543.0</v>
      </c>
      <c r="D11" s="14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1"/>
      <c r="B12" s="25" t="s">
        <v>14</v>
      </c>
      <c r="C12" s="37">
        <v>123.0</v>
      </c>
      <c r="D12" s="14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1"/>
      <c r="B13" s="25" t="s">
        <v>15</v>
      </c>
      <c r="C13" s="27" t="s">
        <v>16</v>
      </c>
      <c r="D13" s="14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1"/>
      <c r="B14" s="25" t="s">
        <v>17</v>
      </c>
      <c r="C14" s="27" t="s">
        <v>18</v>
      </c>
      <c r="D14" s="1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1"/>
      <c r="B15" s="25" t="s">
        <v>20</v>
      </c>
      <c r="C15" s="27" t="s">
        <v>21</v>
      </c>
      <c r="D15" s="14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1"/>
      <c r="B16" s="25" t="s">
        <v>22</v>
      </c>
      <c r="C16" s="37">
        <v>1232050.0</v>
      </c>
      <c r="D16" s="14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1"/>
      <c r="B17" s="25" t="s">
        <v>23</v>
      </c>
      <c r="C17" s="44">
        <v>1.194959642E10</v>
      </c>
      <c r="D17" s="14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1"/>
      <c r="B18" s="25" t="s">
        <v>25</v>
      </c>
      <c r="C18" s="46" t="s">
        <v>21</v>
      </c>
      <c r="D18" s="14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1"/>
      <c r="B19" s="25" t="s">
        <v>29</v>
      </c>
      <c r="C19" s="48" t="s">
        <v>30</v>
      </c>
      <c r="D19" s="14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1"/>
      <c r="B20" s="25" t="s">
        <v>31</v>
      </c>
      <c r="C20" s="37" t="s">
        <v>33</v>
      </c>
      <c r="D20" s="14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1"/>
      <c r="B21" s="25" t="s">
        <v>34</v>
      </c>
      <c r="C21" s="37" t="s">
        <v>35</v>
      </c>
      <c r="D21" s="14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1"/>
      <c r="B22" s="25" t="s">
        <v>37</v>
      </c>
      <c r="C22" s="37" t="s">
        <v>33</v>
      </c>
      <c r="D22" s="14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54"/>
      <c r="C23" s="55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9"/>
      <c r="C24" s="10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1"/>
      <c r="B25" s="62" t="s">
        <v>40</v>
      </c>
      <c r="C25" s="65" t="s">
        <v>43</v>
      </c>
      <c r="D25" s="1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54"/>
      <c r="C26" s="55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2">
    <mergeCell ref="B2:C4"/>
    <mergeCell ref="B7:C7"/>
  </mergeCells>
  <dataValidations>
    <dataValidation type="list" allowBlank="1" sqref="C20:C22">
      <formula1>"Sim,Não"</formula1>
    </dataValidation>
  </dataValidations>
  <hyperlinks>
    <hyperlink display="← VOLTAR" location="Painel!A1" ref="B25"/>
    <hyperlink display="SEGUIR →" location="Informes!A1" ref="C25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63"/>
    <col customWidth="1" min="3" max="3" width="40.25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1</v>
      </c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5"/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7"/>
      <c r="C4" s="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"/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15" t="s">
        <v>4</v>
      </c>
      <c r="C6" s="1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1"/>
      <c r="B7" s="22" t="s">
        <v>7</v>
      </c>
      <c r="C7" s="19"/>
      <c r="D7" s="1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26"/>
      <c r="C8" s="28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32" t="s">
        <v>12</v>
      </c>
      <c r="C9" s="3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39">
        <f>SUM(C14,C19,C24)</f>
        <v>200000</v>
      </c>
      <c r="C10" s="4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32"/>
      <c r="C11" s="3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47" t="s">
        <v>28</v>
      </c>
      <c r="C12" s="3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50" t="s">
        <v>32</v>
      </c>
      <c r="C13" s="53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50" t="s">
        <v>39</v>
      </c>
      <c r="C14" s="57">
        <v>32000.0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50" t="s">
        <v>41</v>
      </c>
      <c r="C15" s="60" t="s">
        <v>42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32"/>
      <c r="C16" s="36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66" t="s">
        <v>44</v>
      </c>
      <c r="C17" s="36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50" t="s">
        <v>32</v>
      </c>
      <c r="C18" s="53" t="s">
        <v>45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50" t="s">
        <v>39</v>
      </c>
      <c r="C19" s="57">
        <v>65000.0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50" t="s">
        <v>41</v>
      </c>
      <c r="C20" s="60" t="s">
        <v>42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32"/>
      <c r="C21" s="36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66" t="s">
        <v>47</v>
      </c>
      <c r="C22" s="36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50" t="s">
        <v>32</v>
      </c>
      <c r="C23" s="53" t="s">
        <v>48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50" t="s">
        <v>39</v>
      </c>
      <c r="C24" s="57">
        <v>103000.0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50" t="s">
        <v>41</v>
      </c>
      <c r="C25" s="60" t="s">
        <v>42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69"/>
      <c r="C26" s="70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62" t="s">
        <v>40</v>
      </c>
      <c r="C28" s="65" t="s">
        <v>43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3">
    <mergeCell ref="B2:C4"/>
    <mergeCell ref="B7:C7"/>
    <mergeCell ref="B10:C10"/>
  </mergeCells>
  <dataValidations>
    <dataValidation type="list" allowBlank="1" sqref="C13 C18 C23">
      <formula1>Bancos!A1:A51</formula1>
    </dataValidation>
  </dataValidations>
  <hyperlinks>
    <hyperlink display="← VOLTAR" location="Titular!A1" ref="B28"/>
    <hyperlink display="SEGUIR →" location="Notas!A1" ref="C28"/>
  </hyperlin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4.13"/>
    <col customWidth="1" min="3" max="3" width="29.75"/>
    <col customWidth="1" min="4" max="4" width="17.88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2</v>
      </c>
      <c r="C2" s="4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/>
      <c r="C3" s="6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7"/>
      <c r="C4" s="8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5" t="s">
        <v>5</v>
      </c>
      <c r="C6" s="18"/>
      <c r="D6" s="20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1"/>
      <c r="B7" s="16" t="s">
        <v>8</v>
      </c>
      <c r="C7" s="24"/>
      <c r="D7" s="19"/>
      <c r="E7" s="1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9"/>
      <c r="C8" s="29"/>
      <c r="D8" s="30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4"/>
      <c r="C9" s="34"/>
      <c r="D9" s="3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D10" s="38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1"/>
      <c r="B11" s="40" t="s">
        <v>19</v>
      </c>
      <c r="C11" s="42"/>
      <c r="D11" s="43"/>
      <c r="E11" s="1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45" t="s">
        <v>24</v>
      </c>
      <c r="C12" s="45" t="s">
        <v>26</v>
      </c>
      <c r="D12" s="45" t="s">
        <v>27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49">
        <v>45931.0</v>
      </c>
      <c r="C13" s="51" t="s">
        <v>36</v>
      </c>
      <c r="D13" s="52">
        <v>2000.0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56"/>
      <c r="C14" s="58"/>
      <c r="D14" s="59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61"/>
      <c r="C15" s="63"/>
      <c r="D15" s="64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56"/>
      <c r="C16" s="58"/>
      <c r="D16" s="59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49"/>
      <c r="C17" s="63"/>
      <c r="D17" s="64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56"/>
      <c r="C18" s="58"/>
      <c r="D18" s="59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49"/>
      <c r="C19" s="63"/>
      <c r="D19" s="64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56">
        <v>45789.0</v>
      </c>
      <c r="C20" s="67" t="s">
        <v>46</v>
      </c>
      <c r="D20" s="68">
        <v>3000.0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49"/>
      <c r="C21" s="63"/>
      <c r="D21" s="64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56"/>
      <c r="C22" s="58"/>
      <c r="D22" s="59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49"/>
      <c r="C23" s="63"/>
      <c r="D23" s="64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56"/>
      <c r="C24" s="58"/>
      <c r="D24" s="59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49"/>
      <c r="C25" s="63"/>
      <c r="D25" s="6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56"/>
      <c r="C26" s="58"/>
      <c r="D26" s="59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49"/>
      <c r="C27" s="63"/>
      <c r="D27" s="64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56"/>
      <c r="C28" s="58"/>
      <c r="D28" s="59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49"/>
      <c r="C29" s="63"/>
      <c r="D29" s="6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56"/>
      <c r="C30" s="58"/>
      <c r="D30" s="59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49"/>
      <c r="C31" s="63"/>
      <c r="D31" s="64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56"/>
      <c r="C32" s="58"/>
      <c r="D32" s="5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49"/>
      <c r="C33" s="63"/>
      <c r="D33" s="64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56"/>
      <c r="C34" s="58"/>
      <c r="D34" s="59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49"/>
      <c r="C35" s="63"/>
      <c r="D35" s="64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56"/>
      <c r="C36" s="58"/>
      <c r="D36" s="59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49"/>
      <c r="C37" s="63"/>
      <c r="D37" s="64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56"/>
      <c r="C38" s="58"/>
      <c r="D38" s="59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49"/>
      <c r="C39" s="63"/>
      <c r="D39" s="64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58"/>
      <c r="C40" s="71"/>
      <c r="D40" s="7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62" t="s">
        <v>40</v>
      </c>
      <c r="C42" s="73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2:C4"/>
    <mergeCell ref="B7:D7"/>
    <mergeCell ref="B11:D11"/>
  </mergeCells>
  <dataValidations>
    <dataValidation type="list" allowBlank="1" sqref="C13:C39">
      <formula1>"Holerite,CPJ,Freelance"</formula1>
    </dataValidation>
  </dataValidations>
  <hyperlinks>
    <hyperlink display="← VOLTAR" location="Informes!A1" ref="B42"/>
  </hyperlin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</cols>
  <sheetData>
    <row r="1">
      <c r="A1" s="96" t="s">
        <v>59</v>
      </c>
      <c r="B1" s="1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7" t="s">
        <v>38</v>
      </c>
      <c r="B2" s="1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97" t="s">
        <v>60</v>
      </c>
      <c r="B3" s="1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7" t="s">
        <v>61</v>
      </c>
      <c r="B4" s="1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97" t="s">
        <v>62</v>
      </c>
      <c r="B5" s="1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7" t="s">
        <v>63</v>
      </c>
      <c r="B6" s="1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97" t="s">
        <v>64</v>
      </c>
      <c r="B7" s="1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97" t="s">
        <v>65</v>
      </c>
      <c r="B8" s="1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97" t="s">
        <v>66</v>
      </c>
      <c r="B9" s="1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97" t="s">
        <v>67</v>
      </c>
      <c r="B10" s="1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97" t="s">
        <v>68</v>
      </c>
      <c r="B11" s="1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97" t="s">
        <v>69</v>
      </c>
      <c r="B12" s="1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97" t="s">
        <v>70</v>
      </c>
      <c r="B13" s="1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97" t="s">
        <v>71</v>
      </c>
      <c r="B14" s="1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97" t="s">
        <v>72</v>
      </c>
      <c r="B15" s="1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97" t="s">
        <v>73</v>
      </c>
      <c r="B16" s="1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97" t="s">
        <v>74</v>
      </c>
      <c r="B17" s="1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97" t="s">
        <v>75</v>
      </c>
      <c r="B18" s="1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97" t="s">
        <v>76</v>
      </c>
      <c r="B19" s="1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97" t="s">
        <v>77</v>
      </c>
      <c r="B20" s="14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97" t="s">
        <v>78</v>
      </c>
      <c r="B21" s="1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97" t="s">
        <v>79</v>
      </c>
      <c r="B22" s="1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97" t="s">
        <v>80</v>
      </c>
      <c r="B23" s="14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97" t="s">
        <v>81</v>
      </c>
      <c r="B24" s="14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97" t="s">
        <v>82</v>
      </c>
      <c r="B25" s="14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97" t="s">
        <v>83</v>
      </c>
      <c r="B26" s="1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97" t="s">
        <v>84</v>
      </c>
      <c r="B27" s="1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97" t="s">
        <v>85</v>
      </c>
      <c r="B28" s="1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97" t="s">
        <v>86</v>
      </c>
      <c r="B29" s="14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97" t="s">
        <v>87</v>
      </c>
      <c r="B30" s="14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97" t="s">
        <v>48</v>
      </c>
      <c r="B31" s="14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97" t="s">
        <v>88</v>
      </c>
      <c r="B32" s="14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97" t="s">
        <v>89</v>
      </c>
      <c r="B33" s="14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97" t="s">
        <v>90</v>
      </c>
      <c r="B34" s="14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97" t="s">
        <v>91</v>
      </c>
      <c r="B35" s="14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97" t="s">
        <v>92</v>
      </c>
      <c r="B36" s="14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97" t="s">
        <v>93</v>
      </c>
      <c r="B37" s="14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97" t="s">
        <v>94</v>
      </c>
      <c r="B38" s="14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97" t="s">
        <v>95</v>
      </c>
      <c r="B39" s="14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97" t="s">
        <v>96</v>
      </c>
      <c r="B40" s="14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97" t="s">
        <v>97</v>
      </c>
      <c r="B41" s="14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97" t="s">
        <v>98</v>
      </c>
      <c r="B42" s="14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97" t="s">
        <v>99</v>
      </c>
      <c r="B43" s="14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97" t="s">
        <v>100</v>
      </c>
      <c r="B44" s="14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97" t="s">
        <v>101</v>
      </c>
      <c r="B45" s="14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97" t="s">
        <v>102</v>
      </c>
      <c r="B46" s="14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97" t="s">
        <v>103</v>
      </c>
      <c r="B47" s="14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97" t="s">
        <v>104</v>
      </c>
      <c r="B48" s="14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97" t="s">
        <v>105</v>
      </c>
      <c r="B49" s="14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97" t="s">
        <v>106</v>
      </c>
      <c r="B50" s="14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97" t="s">
        <v>45</v>
      </c>
      <c r="B51" s="14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97"/>
      <c r="B52" s="14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97"/>
      <c r="B53" s="14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97"/>
      <c r="B54" s="14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97"/>
      <c r="B55" s="14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97"/>
      <c r="B56" s="14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97"/>
      <c r="B57" s="14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97"/>
      <c r="B58" s="14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97"/>
      <c r="B59" s="14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97"/>
      <c r="B60" s="14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97"/>
      <c r="B61" s="14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97"/>
      <c r="B62" s="14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97"/>
      <c r="B63" s="14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97"/>
      <c r="B64" s="14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97"/>
      <c r="B65" s="14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97"/>
      <c r="B66" s="14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97"/>
      <c r="B67" s="14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97"/>
      <c r="B68" s="14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97"/>
      <c r="B69" s="14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97"/>
      <c r="B70" s="14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97"/>
      <c r="B71" s="14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97"/>
      <c r="B72" s="14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97"/>
      <c r="B73" s="14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97"/>
      <c r="B74" s="14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97"/>
      <c r="B75" s="14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97"/>
      <c r="B76" s="14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97"/>
      <c r="B77" s="14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97"/>
      <c r="B78" s="14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97"/>
      <c r="B79" s="14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97"/>
      <c r="B80" s="14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97"/>
      <c r="B81" s="14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97"/>
      <c r="B82" s="14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97"/>
      <c r="B83" s="14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97"/>
      <c r="B84" s="14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97"/>
      <c r="B85" s="14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97"/>
      <c r="B86" s="14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97"/>
      <c r="B87" s="14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97"/>
      <c r="B88" s="14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97"/>
      <c r="B89" s="14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97"/>
      <c r="B90" s="14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97"/>
      <c r="B91" s="14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97"/>
      <c r="B92" s="14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97"/>
      <c r="B93" s="14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97"/>
      <c r="B94" s="14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97"/>
      <c r="B95" s="14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97"/>
      <c r="B96" s="14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97"/>
      <c r="B97" s="14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97"/>
      <c r="B98" s="14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97"/>
      <c r="B99" s="14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97"/>
      <c r="B100" s="14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97"/>
      <c r="B101" s="14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97"/>
      <c r="B102" s="14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97"/>
      <c r="B103" s="14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97"/>
      <c r="B104" s="14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97"/>
      <c r="B105" s="14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97"/>
      <c r="B106" s="14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97"/>
      <c r="B107" s="14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97"/>
      <c r="B108" s="14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97"/>
      <c r="B109" s="14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97"/>
      <c r="B110" s="14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97"/>
      <c r="B111" s="14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97"/>
      <c r="B112" s="14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97"/>
      <c r="B113" s="14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97"/>
      <c r="B114" s="14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97"/>
      <c r="B115" s="14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97"/>
      <c r="B116" s="14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97"/>
      <c r="B117" s="14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97"/>
      <c r="B118" s="14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97"/>
      <c r="B119" s="14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97"/>
      <c r="B120" s="14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97"/>
      <c r="B121" s="14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97"/>
      <c r="B122" s="14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97"/>
      <c r="B123" s="14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97"/>
      <c r="B124" s="14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97"/>
      <c r="B125" s="14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97"/>
      <c r="B126" s="14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97"/>
      <c r="B127" s="14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97"/>
      <c r="B128" s="14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97"/>
      <c r="B129" s="14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97"/>
      <c r="B130" s="14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97"/>
      <c r="B131" s="14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97"/>
      <c r="B132" s="14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97"/>
      <c r="B133" s="14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97"/>
      <c r="B134" s="14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97"/>
      <c r="B135" s="14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97"/>
      <c r="B136" s="14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97"/>
      <c r="B137" s="14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97"/>
      <c r="B138" s="14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97"/>
      <c r="B139" s="14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97"/>
      <c r="B140" s="14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97"/>
      <c r="B141" s="14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97"/>
      <c r="B142" s="14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97"/>
      <c r="B143" s="14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97"/>
      <c r="B144" s="14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97"/>
      <c r="B145" s="14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97"/>
      <c r="B146" s="14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97"/>
      <c r="B147" s="14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97"/>
      <c r="B148" s="14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97"/>
      <c r="B149" s="14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97"/>
      <c r="B150" s="14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97"/>
      <c r="B151" s="14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97"/>
      <c r="B152" s="14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97"/>
      <c r="B153" s="14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97"/>
      <c r="B154" s="14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97"/>
      <c r="B155" s="14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97"/>
      <c r="B156" s="14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97"/>
      <c r="B157" s="14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97"/>
      <c r="B158" s="14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97"/>
      <c r="B159" s="14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97"/>
      <c r="B160" s="14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97"/>
      <c r="B161" s="14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97"/>
      <c r="B162" s="14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97"/>
      <c r="B163" s="14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97"/>
      <c r="B164" s="14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97"/>
      <c r="B165" s="14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97"/>
      <c r="B166" s="14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97"/>
      <c r="B167" s="14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97"/>
      <c r="B168" s="14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97"/>
      <c r="B169" s="14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97"/>
      <c r="B170" s="14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97"/>
      <c r="B171" s="14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97"/>
      <c r="B172" s="14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97"/>
      <c r="B173" s="14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97"/>
      <c r="B174" s="14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97"/>
      <c r="B175" s="14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97"/>
      <c r="B176" s="14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97"/>
      <c r="B177" s="14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97"/>
      <c r="B178" s="14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97"/>
      <c r="B179" s="14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97"/>
      <c r="B180" s="14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97"/>
      <c r="B181" s="14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97"/>
      <c r="B182" s="14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97"/>
      <c r="B183" s="14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97"/>
      <c r="B184" s="14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97"/>
      <c r="B185" s="14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97"/>
      <c r="B186" s="14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97"/>
      <c r="B187" s="14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97"/>
      <c r="B188" s="14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97"/>
      <c r="B189" s="14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97"/>
      <c r="B190" s="14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97"/>
      <c r="B191" s="14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97"/>
      <c r="B192" s="14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97"/>
      <c r="B193" s="14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97"/>
      <c r="B194" s="14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97"/>
      <c r="B195" s="14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97"/>
      <c r="B196" s="14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97"/>
      <c r="B197" s="14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97"/>
      <c r="B198" s="14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97"/>
      <c r="B199" s="14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97"/>
      <c r="B200" s="14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97"/>
      <c r="B201" s="14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97"/>
      <c r="B202" s="14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97"/>
      <c r="B203" s="14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97"/>
      <c r="B204" s="14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97"/>
      <c r="B205" s="14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97"/>
      <c r="B206" s="14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97"/>
      <c r="B207" s="14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97"/>
      <c r="B208" s="14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97"/>
      <c r="B209" s="14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97"/>
      <c r="B210" s="14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97"/>
      <c r="B211" s="14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97"/>
      <c r="B212" s="14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97"/>
      <c r="B213" s="14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97"/>
      <c r="B214" s="14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97"/>
      <c r="B215" s="14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97"/>
      <c r="B216" s="14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97"/>
      <c r="B217" s="14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97"/>
      <c r="B218" s="14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97"/>
      <c r="B219" s="14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97"/>
      <c r="B220" s="14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97"/>
      <c r="B221" s="14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97"/>
      <c r="B222" s="14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97"/>
      <c r="B223" s="14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97"/>
      <c r="B224" s="14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97"/>
      <c r="B225" s="14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97"/>
      <c r="B226" s="14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97"/>
      <c r="B227" s="14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97"/>
      <c r="B228" s="14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97"/>
      <c r="B229" s="14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97"/>
      <c r="B230" s="14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97"/>
      <c r="B231" s="14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97"/>
      <c r="B232" s="14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97"/>
      <c r="B233" s="14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97"/>
      <c r="B234" s="14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97"/>
      <c r="B235" s="14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97"/>
      <c r="B236" s="14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97"/>
      <c r="B237" s="14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97"/>
      <c r="B238" s="14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97"/>
      <c r="B239" s="14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97"/>
      <c r="B240" s="14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97"/>
      <c r="B241" s="14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97"/>
      <c r="B242" s="14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97"/>
      <c r="B243" s="14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97"/>
      <c r="B244" s="14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97"/>
      <c r="B245" s="14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97"/>
      <c r="B246" s="14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97"/>
      <c r="B247" s="14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97"/>
      <c r="B248" s="14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97"/>
      <c r="B249" s="14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97"/>
      <c r="B250" s="14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97"/>
      <c r="B251" s="14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97"/>
      <c r="B252" s="14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97"/>
      <c r="B253" s="14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97"/>
      <c r="B254" s="14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97"/>
      <c r="B255" s="14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97"/>
      <c r="B256" s="14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97"/>
      <c r="B257" s="14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97"/>
      <c r="B258" s="14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97"/>
      <c r="B259" s="14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97"/>
      <c r="B260" s="14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97"/>
      <c r="B261" s="14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97"/>
      <c r="B262" s="14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97"/>
      <c r="B263" s="14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97"/>
      <c r="B264" s="14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97"/>
      <c r="B265" s="14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97"/>
      <c r="B266" s="14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97"/>
      <c r="B267" s="14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97"/>
      <c r="B268" s="14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97"/>
      <c r="B269" s="14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97"/>
      <c r="B270" s="14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97"/>
      <c r="B271" s="14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97"/>
      <c r="B272" s="14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97"/>
      <c r="B273" s="14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97"/>
      <c r="B274" s="14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97"/>
      <c r="B275" s="14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97"/>
      <c r="B276" s="14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97"/>
      <c r="B277" s="14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97"/>
      <c r="B278" s="14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97"/>
      <c r="B279" s="14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97"/>
      <c r="B280" s="14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97"/>
      <c r="B281" s="14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97"/>
      <c r="B282" s="14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97"/>
      <c r="B283" s="14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97"/>
      <c r="B284" s="14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97"/>
      <c r="B285" s="14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97"/>
      <c r="B286" s="14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97"/>
      <c r="B287" s="14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97"/>
      <c r="B288" s="14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97"/>
      <c r="B289" s="14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97"/>
      <c r="B290" s="14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97"/>
      <c r="B291" s="14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97"/>
      <c r="B292" s="14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97"/>
      <c r="B293" s="14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97"/>
      <c r="B294" s="14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97"/>
      <c r="B295" s="14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97"/>
      <c r="B296" s="14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97"/>
      <c r="B297" s="14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97"/>
      <c r="B298" s="14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97"/>
      <c r="B299" s="14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97"/>
      <c r="B300" s="14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97"/>
      <c r="B301" s="14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97"/>
      <c r="B302" s="14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97"/>
      <c r="B303" s="14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97"/>
      <c r="B304" s="14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97"/>
      <c r="B305" s="14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97"/>
      <c r="B306" s="14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97"/>
      <c r="B307" s="14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97"/>
      <c r="B308" s="14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97"/>
      <c r="B309" s="14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97"/>
      <c r="B310" s="14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97"/>
      <c r="B311" s="14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97"/>
      <c r="B312" s="14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97"/>
      <c r="B313" s="14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97"/>
      <c r="B314" s="14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97"/>
      <c r="B315" s="14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97"/>
      <c r="B316" s="14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97"/>
      <c r="B317" s="14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97"/>
      <c r="B318" s="14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97"/>
      <c r="B319" s="14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97"/>
      <c r="B320" s="14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97"/>
      <c r="B321" s="14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97"/>
      <c r="B322" s="14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97"/>
      <c r="B323" s="14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97"/>
      <c r="B324" s="14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97"/>
      <c r="B325" s="14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97"/>
      <c r="B326" s="14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97"/>
      <c r="B327" s="14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97"/>
      <c r="B328" s="14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97"/>
      <c r="B329" s="14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97"/>
      <c r="B330" s="14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97"/>
      <c r="B331" s="14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97"/>
      <c r="B332" s="14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97"/>
      <c r="B333" s="14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97"/>
      <c r="B334" s="14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97"/>
      <c r="B335" s="14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97"/>
      <c r="B336" s="14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97"/>
      <c r="B337" s="14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97"/>
      <c r="B338" s="14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97"/>
      <c r="B339" s="14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97"/>
      <c r="B340" s="14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97"/>
      <c r="B341" s="14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97"/>
      <c r="B342" s="14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97"/>
      <c r="B343" s="14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97"/>
      <c r="B344" s="14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97"/>
      <c r="B345" s="14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97"/>
      <c r="B346" s="14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97"/>
      <c r="B347" s="14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97"/>
      <c r="B348" s="14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97"/>
      <c r="B349" s="14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97"/>
      <c r="B350" s="14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97"/>
      <c r="B351" s="14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97"/>
      <c r="B352" s="14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97"/>
      <c r="B353" s="14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97"/>
      <c r="B354" s="14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97"/>
      <c r="B355" s="14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97"/>
      <c r="B356" s="14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97"/>
      <c r="B357" s="14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97"/>
      <c r="B358" s="14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97"/>
      <c r="B359" s="14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97"/>
      <c r="B360" s="14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97"/>
      <c r="B361" s="14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97"/>
      <c r="B362" s="14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97"/>
      <c r="B363" s="14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97"/>
      <c r="B364" s="14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97"/>
      <c r="B365" s="14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97"/>
      <c r="B366" s="14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97"/>
      <c r="B367" s="14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97"/>
      <c r="B368" s="14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97"/>
      <c r="B369" s="14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97"/>
      <c r="B370" s="14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97"/>
      <c r="B371" s="14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97"/>
      <c r="B372" s="14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97"/>
      <c r="B373" s="14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97"/>
      <c r="B374" s="14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97"/>
      <c r="B375" s="14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97"/>
      <c r="B376" s="14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97"/>
      <c r="B377" s="14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97"/>
      <c r="B378" s="14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97"/>
      <c r="B379" s="14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97"/>
      <c r="B380" s="14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97"/>
      <c r="B381" s="14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97"/>
      <c r="B382" s="14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97"/>
      <c r="B383" s="14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97"/>
      <c r="B384" s="14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97"/>
      <c r="B385" s="14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97"/>
      <c r="B386" s="14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97"/>
      <c r="B387" s="14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97"/>
      <c r="B388" s="14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97"/>
      <c r="B389" s="14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97"/>
      <c r="B390" s="14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97"/>
      <c r="B391" s="14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97"/>
      <c r="B392" s="14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97"/>
      <c r="B393" s="14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97"/>
      <c r="B394" s="14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97"/>
      <c r="B395" s="14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97"/>
      <c r="B396" s="14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97"/>
      <c r="B397" s="14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97"/>
      <c r="B398" s="14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97"/>
      <c r="B399" s="14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97"/>
      <c r="B400" s="14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97"/>
      <c r="B401" s="14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97"/>
      <c r="B402" s="14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97"/>
      <c r="B403" s="14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97"/>
      <c r="B404" s="14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97"/>
      <c r="B405" s="14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97"/>
      <c r="B406" s="14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97"/>
      <c r="B407" s="14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97"/>
      <c r="B408" s="14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97"/>
      <c r="B409" s="14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97"/>
      <c r="B410" s="14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97"/>
      <c r="B411" s="14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97"/>
      <c r="B412" s="14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97"/>
      <c r="B413" s="14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97"/>
      <c r="B414" s="14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97"/>
      <c r="B415" s="14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97"/>
      <c r="B416" s="14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97"/>
      <c r="B417" s="14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97"/>
      <c r="B418" s="14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97"/>
      <c r="B419" s="14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97"/>
      <c r="B420" s="14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97"/>
      <c r="B421" s="14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97"/>
      <c r="B422" s="14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97"/>
      <c r="B423" s="14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97"/>
      <c r="B424" s="14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97"/>
      <c r="B425" s="14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97"/>
      <c r="B426" s="14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97"/>
      <c r="B427" s="14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97"/>
      <c r="B428" s="14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97"/>
      <c r="B429" s="14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97"/>
      <c r="B430" s="14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97"/>
      <c r="B431" s="14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97"/>
      <c r="B432" s="14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97"/>
      <c r="B433" s="14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97"/>
      <c r="B434" s="14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97"/>
      <c r="B435" s="14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97"/>
      <c r="B436" s="14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97"/>
      <c r="B437" s="14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97"/>
      <c r="B438" s="14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97"/>
      <c r="B439" s="14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97"/>
      <c r="B440" s="14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97"/>
      <c r="B441" s="14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97"/>
      <c r="B442" s="14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97"/>
      <c r="B443" s="14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97"/>
      <c r="B444" s="14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97"/>
      <c r="B445" s="14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97"/>
      <c r="B446" s="14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97"/>
      <c r="B447" s="14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97"/>
      <c r="B448" s="14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97"/>
      <c r="B449" s="14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97"/>
      <c r="B450" s="14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97"/>
      <c r="B451" s="14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97"/>
      <c r="B452" s="14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97"/>
      <c r="B453" s="14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97"/>
      <c r="B454" s="14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97"/>
      <c r="B455" s="14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97"/>
      <c r="B456" s="14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97"/>
      <c r="B457" s="14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97"/>
      <c r="B458" s="14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97"/>
      <c r="B459" s="14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97"/>
      <c r="B460" s="14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97"/>
      <c r="B461" s="14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97"/>
      <c r="B462" s="14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97"/>
      <c r="B463" s="14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97"/>
      <c r="B464" s="14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97"/>
      <c r="B465" s="14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97"/>
      <c r="B466" s="14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97"/>
      <c r="B467" s="14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97"/>
      <c r="B468" s="14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97"/>
      <c r="B469" s="14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97"/>
      <c r="B470" s="14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97"/>
      <c r="B471" s="14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97"/>
      <c r="B472" s="14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97"/>
      <c r="B473" s="14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97"/>
      <c r="B474" s="14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97"/>
      <c r="B475" s="14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97"/>
      <c r="B476" s="14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97"/>
      <c r="B477" s="14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97"/>
      <c r="B478" s="14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97"/>
      <c r="B479" s="14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97"/>
      <c r="B480" s="14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97"/>
      <c r="B481" s="14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97"/>
      <c r="B482" s="14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97"/>
      <c r="B483" s="14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97"/>
      <c r="B484" s="14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97"/>
      <c r="B485" s="14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97"/>
      <c r="B486" s="14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97"/>
      <c r="B487" s="14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97"/>
      <c r="B488" s="14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97"/>
      <c r="B489" s="14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97"/>
      <c r="B490" s="14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97"/>
      <c r="B491" s="14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97"/>
      <c r="B492" s="14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97"/>
      <c r="B493" s="14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97"/>
      <c r="B494" s="14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97"/>
      <c r="B495" s="14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97"/>
      <c r="B496" s="14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97"/>
      <c r="B497" s="14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97"/>
      <c r="B498" s="14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97"/>
      <c r="B499" s="14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97"/>
      <c r="B500" s="14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97"/>
      <c r="B501" s="14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97"/>
      <c r="B502" s="14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97"/>
      <c r="B503" s="14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97"/>
      <c r="B504" s="14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97"/>
      <c r="B505" s="14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97"/>
      <c r="B506" s="14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97"/>
      <c r="B507" s="14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97"/>
      <c r="B508" s="14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97"/>
      <c r="B509" s="14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97"/>
      <c r="B510" s="14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97"/>
      <c r="B511" s="14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97"/>
      <c r="B512" s="14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97"/>
      <c r="B513" s="14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97"/>
      <c r="B514" s="14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97"/>
      <c r="B515" s="14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97"/>
      <c r="B516" s="14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97"/>
      <c r="B517" s="14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97"/>
      <c r="B518" s="14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97"/>
      <c r="B519" s="14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97"/>
      <c r="B520" s="14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97"/>
      <c r="B521" s="14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97"/>
      <c r="B522" s="14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97"/>
      <c r="B523" s="14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97"/>
      <c r="B524" s="14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97"/>
      <c r="B525" s="14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97"/>
      <c r="B526" s="14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97"/>
      <c r="B527" s="14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97"/>
      <c r="B528" s="14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97"/>
      <c r="B529" s="14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97"/>
      <c r="B530" s="14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97"/>
      <c r="B531" s="14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97"/>
      <c r="B532" s="14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97"/>
      <c r="B533" s="14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97"/>
      <c r="B534" s="14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97"/>
      <c r="B535" s="14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97"/>
      <c r="B536" s="14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97"/>
      <c r="B537" s="14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97"/>
      <c r="B538" s="14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97"/>
      <c r="B539" s="14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97"/>
      <c r="B540" s="14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97"/>
      <c r="B541" s="14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97"/>
      <c r="B542" s="14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97"/>
      <c r="B543" s="14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97"/>
      <c r="B544" s="14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97"/>
      <c r="B545" s="14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97"/>
      <c r="B546" s="14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97"/>
      <c r="B547" s="14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97"/>
      <c r="B548" s="14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97"/>
      <c r="B549" s="14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97"/>
      <c r="B550" s="14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97"/>
      <c r="B551" s="14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97"/>
      <c r="B552" s="14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97"/>
      <c r="B553" s="14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97"/>
      <c r="B554" s="14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97"/>
      <c r="B555" s="14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97"/>
      <c r="B556" s="14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97"/>
      <c r="B557" s="14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97"/>
      <c r="B558" s="14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97"/>
      <c r="B559" s="14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97"/>
      <c r="B560" s="14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97"/>
      <c r="B561" s="14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97"/>
      <c r="B562" s="14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97"/>
      <c r="B563" s="14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97"/>
      <c r="B564" s="14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97"/>
      <c r="B565" s="14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97"/>
      <c r="B566" s="14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97"/>
      <c r="B567" s="14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97"/>
      <c r="B568" s="14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97"/>
      <c r="B569" s="14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97"/>
      <c r="B570" s="14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97"/>
      <c r="B571" s="14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97"/>
      <c r="B572" s="14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97"/>
      <c r="B573" s="14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97"/>
      <c r="B574" s="14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97"/>
      <c r="B575" s="14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97"/>
      <c r="B576" s="14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97"/>
      <c r="B577" s="14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97"/>
      <c r="B578" s="14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97"/>
      <c r="B579" s="14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97"/>
      <c r="B580" s="14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97"/>
      <c r="B581" s="14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97"/>
      <c r="B582" s="14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97"/>
      <c r="B583" s="14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97"/>
      <c r="B584" s="14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97"/>
      <c r="B585" s="14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97"/>
      <c r="B586" s="14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97"/>
      <c r="B587" s="14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97"/>
      <c r="B588" s="14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97"/>
      <c r="B589" s="14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97"/>
      <c r="B590" s="14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97"/>
      <c r="B591" s="14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97"/>
      <c r="B592" s="14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97"/>
      <c r="B593" s="14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97"/>
      <c r="B594" s="14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97"/>
      <c r="B595" s="14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97"/>
      <c r="B596" s="14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97"/>
      <c r="B597" s="14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97"/>
      <c r="B598" s="14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97"/>
      <c r="B599" s="14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97"/>
      <c r="B600" s="14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97"/>
      <c r="B601" s="14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97"/>
      <c r="B602" s="14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97"/>
      <c r="B603" s="14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97"/>
      <c r="B604" s="14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97"/>
      <c r="B605" s="14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97"/>
      <c r="B606" s="14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97"/>
      <c r="B607" s="14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97"/>
      <c r="B608" s="14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97"/>
      <c r="B609" s="14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97"/>
      <c r="B610" s="14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97"/>
      <c r="B611" s="14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97"/>
      <c r="B612" s="14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97"/>
      <c r="B613" s="14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97"/>
      <c r="B614" s="14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97"/>
      <c r="B615" s="14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97"/>
      <c r="B616" s="14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97"/>
      <c r="B617" s="14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97"/>
      <c r="B618" s="14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97"/>
      <c r="B619" s="14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97"/>
      <c r="B620" s="14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97"/>
      <c r="B621" s="14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97"/>
      <c r="B622" s="14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97"/>
      <c r="B623" s="14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97"/>
      <c r="B624" s="14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97"/>
      <c r="B625" s="14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97"/>
      <c r="B626" s="14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97"/>
      <c r="B627" s="14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97"/>
      <c r="B628" s="14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97"/>
      <c r="B629" s="14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97"/>
      <c r="B630" s="14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97"/>
      <c r="B631" s="14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97"/>
      <c r="B632" s="14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97"/>
      <c r="B633" s="14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97"/>
      <c r="B634" s="14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97"/>
      <c r="B635" s="14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97"/>
      <c r="B636" s="14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97"/>
      <c r="B637" s="14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97"/>
      <c r="B638" s="14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97"/>
      <c r="B639" s="14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97"/>
      <c r="B640" s="14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97"/>
      <c r="B641" s="14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97"/>
      <c r="B642" s="14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97"/>
      <c r="B643" s="14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97"/>
      <c r="B644" s="14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97"/>
      <c r="B645" s="14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97"/>
      <c r="B646" s="14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97"/>
      <c r="B647" s="14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97"/>
      <c r="B648" s="14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97"/>
      <c r="B649" s="14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97"/>
      <c r="B650" s="14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97"/>
      <c r="B651" s="14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97"/>
      <c r="B652" s="14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97"/>
      <c r="B653" s="14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97"/>
      <c r="B654" s="14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97"/>
      <c r="B655" s="14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97"/>
      <c r="B656" s="14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97"/>
      <c r="B657" s="14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97"/>
      <c r="B658" s="14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97"/>
      <c r="B659" s="14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97"/>
      <c r="B660" s="14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97"/>
      <c r="B661" s="14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97"/>
      <c r="B662" s="14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97"/>
      <c r="B663" s="14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97"/>
      <c r="B664" s="14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97"/>
      <c r="B665" s="14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97"/>
      <c r="B666" s="14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97"/>
      <c r="B667" s="14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97"/>
      <c r="B668" s="14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97"/>
      <c r="B669" s="14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97"/>
      <c r="B670" s="14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97"/>
      <c r="B671" s="14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97"/>
      <c r="B672" s="14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97"/>
      <c r="B673" s="14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97"/>
      <c r="B674" s="14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97"/>
      <c r="B675" s="14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97"/>
      <c r="B676" s="14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97"/>
      <c r="B677" s="14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97"/>
      <c r="B678" s="14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97"/>
      <c r="B679" s="14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97"/>
      <c r="B680" s="14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97"/>
      <c r="B681" s="14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97"/>
      <c r="B682" s="14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97"/>
      <c r="B683" s="14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97"/>
      <c r="B684" s="14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97"/>
      <c r="B685" s="14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97"/>
      <c r="B686" s="14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97"/>
      <c r="B687" s="14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97"/>
      <c r="B688" s="14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97"/>
      <c r="B689" s="14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97"/>
      <c r="B690" s="14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97"/>
      <c r="B691" s="14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97"/>
      <c r="B692" s="14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97"/>
      <c r="B693" s="14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97"/>
      <c r="B694" s="14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97"/>
      <c r="B695" s="14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97"/>
      <c r="B696" s="14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97"/>
      <c r="B697" s="14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97"/>
      <c r="B698" s="14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97"/>
      <c r="B699" s="14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97"/>
      <c r="B700" s="14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97"/>
      <c r="B701" s="14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97"/>
      <c r="B702" s="14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97"/>
      <c r="B703" s="14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97"/>
      <c r="B704" s="14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97"/>
      <c r="B705" s="14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97"/>
      <c r="B706" s="14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97"/>
      <c r="B707" s="14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97"/>
      <c r="B708" s="14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97"/>
      <c r="B709" s="14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97"/>
      <c r="B710" s="14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97"/>
      <c r="B711" s="14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97"/>
      <c r="B712" s="14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97"/>
      <c r="B713" s="14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97"/>
      <c r="B714" s="14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97"/>
      <c r="B715" s="14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97"/>
      <c r="B716" s="14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97"/>
      <c r="B717" s="14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97"/>
      <c r="B718" s="14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97"/>
      <c r="B719" s="14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97"/>
      <c r="B720" s="14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97"/>
      <c r="B721" s="14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97"/>
      <c r="B722" s="14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97"/>
      <c r="B723" s="14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97"/>
      <c r="B724" s="14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97"/>
      <c r="B725" s="14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97"/>
      <c r="B726" s="14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97"/>
      <c r="B727" s="14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97"/>
      <c r="B728" s="14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97"/>
      <c r="B729" s="14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97"/>
      <c r="B730" s="14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97"/>
      <c r="B731" s="14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97"/>
      <c r="B732" s="14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97"/>
      <c r="B733" s="14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97"/>
      <c r="B734" s="14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97"/>
      <c r="B735" s="14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97"/>
      <c r="B736" s="14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97"/>
      <c r="B737" s="14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97"/>
      <c r="B738" s="14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97"/>
      <c r="B739" s="14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97"/>
      <c r="B740" s="14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97"/>
      <c r="B741" s="14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97"/>
      <c r="B742" s="14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97"/>
      <c r="B743" s="14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97"/>
      <c r="B744" s="14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97"/>
      <c r="B745" s="14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97"/>
      <c r="B746" s="14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97"/>
      <c r="B747" s="14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97"/>
      <c r="B748" s="14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97"/>
      <c r="B749" s="14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97"/>
      <c r="B750" s="14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97"/>
      <c r="B751" s="14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97"/>
      <c r="B752" s="14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97"/>
      <c r="B753" s="14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97"/>
      <c r="B754" s="14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97"/>
      <c r="B755" s="14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97"/>
      <c r="B756" s="14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97"/>
      <c r="B757" s="14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97"/>
      <c r="B758" s="14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97"/>
      <c r="B759" s="14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97"/>
      <c r="B760" s="14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97"/>
      <c r="B761" s="14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97"/>
      <c r="B762" s="14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97"/>
      <c r="B763" s="14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97"/>
      <c r="B764" s="14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97"/>
      <c r="B765" s="14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97"/>
      <c r="B766" s="14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97"/>
      <c r="B767" s="14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97"/>
      <c r="B768" s="14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97"/>
      <c r="B769" s="14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97"/>
      <c r="B770" s="14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97"/>
      <c r="B771" s="14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97"/>
      <c r="B772" s="14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97"/>
      <c r="B773" s="14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97"/>
      <c r="B774" s="14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97"/>
      <c r="B775" s="14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97"/>
      <c r="B776" s="14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97"/>
      <c r="B777" s="14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97"/>
      <c r="B778" s="14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97"/>
      <c r="B779" s="14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97"/>
      <c r="B780" s="14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97"/>
      <c r="B781" s="14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97"/>
      <c r="B782" s="14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97"/>
      <c r="B783" s="14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97"/>
      <c r="B784" s="14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97"/>
      <c r="B785" s="14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97"/>
      <c r="B786" s="14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97"/>
      <c r="B787" s="14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97"/>
      <c r="B788" s="14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97"/>
      <c r="B789" s="14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97"/>
      <c r="B790" s="14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97"/>
      <c r="B791" s="14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97"/>
      <c r="B792" s="14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97"/>
      <c r="B793" s="14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97"/>
      <c r="B794" s="14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97"/>
      <c r="B795" s="14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97"/>
      <c r="B796" s="14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97"/>
      <c r="B797" s="14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97"/>
      <c r="B798" s="14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97"/>
      <c r="B799" s="14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97"/>
      <c r="B800" s="14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97"/>
      <c r="B801" s="14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97"/>
      <c r="B802" s="14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97"/>
      <c r="B803" s="14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97"/>
      <c r="B804" s="14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97"/>
      <c r="B805" s="14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97"/>
      <c r="B806" s="14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97"/>
      <c r="B807" s="14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97"/>
      <c r="B808" s="14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97"/>
      <c r="B809" s="14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97"/>
      <c r="B810" s="14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97"/>
      <c r="B811" s="14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97"/>
      <c r="B812" s="14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97"/>
      <c r="B813" s="14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97"/>
      <c r="B814" s="14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97"/>
      <c r="B815" s="14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97"/>
      <c r="B816" s="14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97"/>
      <c r="B817" s="14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97"/>
      <c r="B818" s="14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97"/>
      <c r="B819" s="14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97"/>
      <c r="B820" s="14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97"/>
      <c r="B821" s="14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97"/>
      <c r="B822" s="14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97"/>
      <c r="B823" s="14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97"/>
      <c r="B824" s="14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97"/>
      <c r="B825" s="14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97"/>
      <c r="B826" s="14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97"/>
      <c r="B827" s="14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97"/>
      <c r="B828" s="14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97"/>
      <c r="B829" s="14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97"/>
      <c r="B830" s="14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97"/>
      <c r="B831" s="14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97"/>
      <c r="B832" s="14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97"/>
      <c r="B833" s="14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97"/>
      <c r="B834" s="14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97"/>
      <c r="B835" s="14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97"/>
      <c r="B836" s="14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97"/>
      <c r="B837" s="14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97"/>
      <c r="B838" s="14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97"/>
      <c r="B839" s="14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97"/>
      <c r="B840" s="14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97"/>
      <c r="B841" s="14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97"/>
      <c r="B842" s="14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97"/>
      <c r="B843" s="14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97"/>
      <c r="B844" s="14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97"/>
      <c r="B845" s="14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97"/>
      <c r="B846" s="14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97"/>
      <c r="B847" s="14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97"/>
      <c r="B848" s="14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97"/>
      <c r="B849" s="14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97"/>
      <c r="B850" s="14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97"/>
      <c r="B851" s="14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97"/>
      <c r="B852" s="14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97"/>
      <c r="B853" s="14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97"/>
      <c r="B854" s="14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97"/>
      <c r="B855" s="14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97"/>
      <c r="B856" s="14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97"/>
      <c r="B857" s="14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97"/>
      <c r="B858" s="14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97"/>
      <c r="B859" s="14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97"/>
      <c r="B860" s="14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97"/>
      <c r="B861" s="14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97"/>
      <c r="B862" s="14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97"/>
      <c r="B863" s="14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97"/>
      <c r="B864" s="14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97"/>
      <c r="B865" s="14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97"/>
      <c r="B866" s="14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97"/>
      <c r="B867" s="14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97"/>
      <c r="B868" s="14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97"/>
      <c r="B869" s="14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97"/>
      <c r="B870" s="14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97"/>
      <c r="B871" s="14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97"/>
      <c r="B872" s="14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97"/>
      <c r="B873" s="14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97"/>
      <c r="B874" s="14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97"/>
      <c r="B875" s="14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97"/>
      <c r="B876" s="14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97"/>
      <c r="B877" s="14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97"/>
      <c r="B878" s="14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97"/>
      <c r="B879" s="14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97"/>
      <c r="B880" s="14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97"/>
      <c r="B881" s="14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97"/>
      <c r="B882" s="14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97"/>
      <c r="B883" s="14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97"/>
      <c r="B884" s="14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97"/>
      <c r="B885" s="14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97"/>
      <c r="B886" s="14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97"/>
      <c r="B887" s="14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97"/>
      <c r="B888" s="14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97"/>
      <c r="B889" s="14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97"/>
      <c r="B890" s="14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97"/>
      <c r="B891" s="14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97"/>
      <c r="B892" s="14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97"/>
      <c r="B893" s="14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97"/>
      <c r="B894" s="14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97"/>
      <c r="B895" s="14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97"/>
      <c r="B896" s="14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97"/>
      <c r="B897" s="14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97"/>
      <c r="B898" s="14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97"/>
      <c r="B899" s="14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97"/>
      <c r="B900" s="14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97"/>
      <c r="B901" s="14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97"/>
      <c r="B902" s="14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97"/>
      <c r="B903" s="14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97"/>
      <c r="B904" s="14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97"/>
      <c r="B905" s="14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97"/>
      <c r="B906" s="14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97"/>
      <c r="B907" s="14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97"/>
      <c r="B908" s="14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97"/>
      <c r="B909" s="14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97"/>
      <c r="B910" s="14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97"/>
      <c r="B911" s="14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97"/>
      <c r="B912" s="14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97"/>
      <c r="B913" s="14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97"/>
      <c r="B914" s="14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97"/>
      <c r="B915" s="14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97"/>
      <c r="B916" s="14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97"/>
      <c r="B917" s="14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97"/>
      <c r="B918" s="14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97"/>
      <c r="B919" s="14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97"/>
      <c r="B920" s="14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97"/>
      <c r="B921" s="14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97"/>
      <c r="B922" s="14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97"/>
      <c r="B923" s="14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97"/>
      <c r="B924" s="14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97"/>
      <c r="B925" s="14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97"/>
      <c r="B926" s="14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97"/>
      <c r="B927" s="14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97"/>
      <c r="B928" s="14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97"/>
      <c r="B929" s="14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97"/>
      <c r="B930" s="14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97"/>
      <c r="B931" s="14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97"/>
      <c r="B932" s="14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97"/>
      <c r="B933" s="14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97"/>
      <c r="B934" s="14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97"/>
      <c r="B935" s="14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97"/>
      <c r="B936" s="14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97"/>
      <c r="B937" s="14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97"/>
      <c r="B938" s="14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97"/>
      <c r="B939" s="14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97"/>
      <c r="B940" s="14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97"/>
      <c r="B941" s="14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97"/>
      <c r="B942" s="14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97"/>
      <c r="B943" s="14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97"/>
      <c r="B944" s="14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97"/>
      <c r="B945" s="14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97"/>
      <c r="B946" s="14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97"/>
      <c r="B947" s="14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97"/>
      <c r="B948" s="14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97"/>
      <c r="B949" s="14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97"/>
      <c r="B950" s="14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97"/>
      <c r="B951" s="14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97"/>
      <c r="B952" s="14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97"/>
      <c r="B953" s="14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97"/>
      <c r="B954" s="14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97"/>
      <c r="B955" s="14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97"/>
      <c r="B956" s="14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97"/>
      <c r="B957" s="14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97"/>
      <c r="B958" s="14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97"/>
      <c r="B959" s="14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97"/>
      <c r="B960" s="14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97"/>
      <c r="B961" s="14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97"/>
      <c r="B962" s="14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97"/>
      <c r="B963" s="14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97"/>
      <c r="B964" s="14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97"/>
      <c r="B965" s="14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97"/>
      <c r="B966" s="14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97"/>
      <c r="B967" s="14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97"/>
      <c r="B968" s="14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97"/>
      <c r="B969" s="14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97"/>
      <c r="B970" s="14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97"/>
      <c r="B971" s="14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97"/>
      <c r="B972" s="14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97"/>
      <c r="B973" s="14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97"/>
      <c r="B974" s="14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97"/>
      <c r="B975" s="14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97"/>
      <c r="B976" s="14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97"/>
      <c r="B977" s="14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97"/>
      <c r="B978" s="14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97"/>
      <c r="B979" s="14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97"/>
      <c r="B980" s="14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97"/>
      <c r="B981" s="14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97"/>
      <c r="B982" s="14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97"/>
      <c r="B983" s="14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97"/>
      <c r="B984" s="14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97"/>
      <c r="B985" s="14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97"/>
      <c r="B986" s="14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97"/>
      <c r="B987" s="14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97"/>
      <c r="B988" s="14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97"/>
      <c r="B989" s="14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97"/>
      <c r="B990" s="14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97"/>
      <c r="B991" s="14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97"/>
      <c r="B992" s="14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97"/>
      <c r="B993" s="14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97"/>
      <c r="B994" s="14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97"/>
      <c r="B995" s="14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97"/>
      <c r="B996" s="14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97"/>
      <c r="B997" s="14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97"/>
      <c r="B998" s="14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97"/>
      <c r="B999" s="14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97"/>
      <c r="B1000" s="14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